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uliah\K-NN\"/>
    </mc:Choice>
  </mc:AlternateContent>
  <bookViews>
    <workbookView xWindow="0" yWindow="0" windowWidth="20325" windowHeight="8130" activeTab="3"/>
  </bookViews>
  <sheets>
    <sheet name="Contoh 3" sheetId="1" r:id="rId1"/>
    <sheet name="Contoh 2" sheetId="2" r:id="rId2"/>
    <sheet name="Contoh 1" sheetId="3" r:id="rId3"/>
    <sheet name="Tugas" sheetId="4" r:id="rId4"/>
  </sheets>
  <calcPr calcId="162913"/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K3" i="4"/>
  <c r="K4" i="4"/>
  <c r="K5" i="4"/>
  <c r="K6" i="4"/>
  <c r="K7" i="4"/>
  <c r="K8" i="4"/>
  <c r="I7" i="1"/>
  <c r="H3" i="4"/>
  <c r="I3" i="4" s="1"/>
  <c r="H4" i="4"/>
  <c r="H5" i="4"/>
  <c r="H6" i="4"/>
  <c r="I6" i="4" s="1"/>
  <c r="H7" i="4"/>
  <c r="I7" i="4" s="1"/>
  <c r="H8" i="4"/>
  <c r="I8" i="4" s="1"/>
  <c r="J8" i="4" s="1"/>
  <c r="I5" i="4"/>
  <c r="I4" i="4"/>
  <c r="E13" i="3"/>
  <c r="F13" i="3" s="1"/>
  <c r="G13" i="3" s="1"/>
  <c r="E12" i="3"/>
  <c r="F12" i="3" s="1"/>
  <c r="G12" i="3" s="1"/>
  <c r="E11" i="3"/>
  <c r="E10" i="3"/>
  <c r="F10" i="3" s="1"/>
  <c r="G10" i="3" s="1"/>
  <c r="E9" i="3"/>
  <c r="F9" i="3" s="1"/>
  <c r="G9" i="3" s="1"/>
  <c r="E8" i="3"/>
  <c r="F8" i="3" s="1"/>
  <c r="G8" i="3" s="1"/>
  <c r="E7" i="3"/>
  <c r="F7" i="3" s="1"/>
  <c r="G7" i="3" s="1"/>
  <c r="G12" i="2"/>
  <c r="H12" i="2" s="1"/>
  <c r="I12" i="2" s="1"/>
  <c r="G11" i="2"/>
  <c r="H11" i="2" s="1"/>
  <c r="I11" i="2" s="1"/>
  <c r="G10" i="2"/>
  <c r="G9" i="2"/>
  <c r="H9" i="2" s="1"/>
  <c r="I9" i="2" s="1"/>
  <c r="G8" i="2"/>
  <c r="H8" i="2" s="1"/>
  <c r="I8" i="2" s="1"/>
  <c r="G7" i="2"/>
  <c r="H7" i="2" s="1"/>
  <c r="I7" i="2" s="1"/>
  <c r="G19" i="1"/>
  <c r="H12" i="1"/>
  <c r="G12" i="1"/>
  <c r="H11" i="1"/>
  <c r="G11" i="1"/>
  <c r="G10" i="1"/>
  <c r="H10" i="1" s="1"/>
  <c r="G9" i="1"/>
  <c r="H9" i="1" s="1"/>
  <c r="G8" i="1"/>
  <c r="H8" i="1" s="1"/>
  <c r="I8" i="1" s="1"/>
  <c r="J8" i="1" s="1"/>
  <c r="K8" i="1" s="1"/>
  <c r="H7" i="1"/>
  <c r="G7" i="1"/>
  <c r="J3" i="4" l="1"/>
  <c r="J6" i="4"/>
  <c r="J7" i="4"/>
  <c r="J4" i="4"/>
  <c r="J5" i="4"/>
  <c r="I9" i="1"/>
  <c r="J9" i="1" s="1"/>
  <c r="K9" i="1" s="1"/>
  <c r="I10" i="1"/>
  <c r="J10" i="1" s="1"/>
  <c r="K10" i="1" s="1"/>
  <c r="I12" i="1"/>
  <c r="J12" i="1" s="1"/>
  <c r="K12" i="1" s="1"/>
  <c r="I11" i="1"/>
  <c r="J11" i="1" s="1"/>
  <c r="K11" i="1" s="1"/>
  <c r="J7" i="1"/>
  <c r="K7" i="1" s="1"/>
  <c r="F11" i="3"/>
  <c r="G11" i="3" s="1"/>
  <c r="I8" i="3" s="1"/>
  <c r="H10" i="2"/>
  <c r="I10" i="2" s="1"/>
  <c r="H17" i="2" s="1"/>
  <c r="I7" i="3" l="1"/>
  <c r="E3" i="3" s="1"/>
  <c r="H16" i="2"/>
  <c r="E3" i="2" s="1"/>
  <c r="H16" i="1"/>
  <c r="H17" i="1"/>
  <c r="G20" i="1" l="1"/>
</calcChain>
</file>

<file path=xl/sharedStrings.xml><?xml version="1.0" encoding="utf-8"?>
<sst xmlns="http://schemas.openxmlformats.org/spreadsheetml/2006/main" count="96" uniqueCount="45">
  <si>
    <t>Takaran Saji</t>
  </si>
  <si>
    <t>Perkemasan</t>
  </si>
  <si>
    <t>Energi Total</t>
  </si>
  <si>
    <t>DATA UJI (BARU)</t>
  </si>
  <si>
    <t>X1​</t>
  </si>
  <si>
    <t>X2​</t>
  </si>
  <si>
    <t>X3​</t>
  </si>
  <si>
    <t>K</t>
  </si>
  <si>
    <t>Y (Klasifikasi)</t>
  </si>
  <si>
    <t>Jarak Kuadrat</t>
  </si>
  <si>
    <t>Jarak Euclidean</t>
  </si>
  <si>
    <t>Peringkat Jarak</t>
  </si>
  <si>
    <t>Termasuk Nearest</t>
  </si>
  <si>
    <t>Hasil</t>
  </si>
  <si>
    <t>Jelek</t>
  </si>
  <si>
    <t>Bagus</t>
  </si>
  <si>
    <t>Kategori</t>
  </si>
  <si>
    <t>Jumlah Suara</t>
  </si>
  <si>
    <t>Tinggi</t>
  </si>
  <si>
    <t>Berat Badan</t>
  </si>
  <si>
    <t>Jenis Kelamin</t>
  </si>
  <si>
    <t>Nama</t>
  </si>
  <si>
    <t>Tinggi (cm)</t>
  </si>
  <si>
    <t>Berat Badan (kg)</t>
  </si>
  <si>
    <t>Jarak Euclidian</t>
  </si>
  <si>
    <t>Ranking</t>
  </si>
  <si>
    <t>A</t>
  </si>
  <si>
    <t>P</t>
  </si>
  <si>
    <t>B</t>
  </si>
  <si>
    <t>L</t>
  </si>
  <si>
    <t>C</t>
  </si>
  <si>
    <t>D</t>
  </si>
  <si>
    <t>E</t>
  </si>
  <si>
    <t>F</t>
  </si>
  <si>
    <t>Total</t>
  </si>
  <si>
    <t>Data Baru</t>
  </si>
  <si>
    <t>Daya Tahan</t>
  </si>
  <si>
    <t>Kekuatan</t>
  </si>
  <si>
    <t>Daya Tahan Asam (detik)</t>
  </si>
  <si>
    <t>Kekuatan (Kg/m2)</t>
  </si>
  <si>
    <t>Euclidian Distance</t>
  </si>
  <si>
    <t>Nearest</t>
  </si>
  <si>
    <t>Baik</t>
  </si>
  <si>
    <t>Jumlah Saji Per Kemasan</t>
  </si>
  <si>
    <t>Klasifikasi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</si>
</sst>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9900"/>
      <name val="Arial"/>
      <scheme val="minor"/>
    </font>
    <font>
      <b/>
      <sz val="10"/>
      <color rgb="FF000000"/>
      <name val="Arial"/>
      <scheme val="minor"/>
    </font>
    <font>
      <b/>
      <sz val="11"/>
      <color rgb="FFFF9900"/>
      <name val="Arial"/>
      <scheme val="minor"/>
    </font>
    <font>
      <sz val="11"/>
      <color rgb="FF0061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35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0" xfId="0" applyFont="1"/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6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Contoh 3-style" pivot="0" count="4">
      <tableStyleElement type="wholeTable" size="0" dxfId="47"/>
      <tableStyleElement type="headerRow" dxfId="50"/>
      <tableStyleElement type="firstRowStripe" dxfId="49"/>
      <tableStyleElement type="secondRowStripe" dxfId="48"/>
    </tableStyle>
    <tableStyle name="Contoh 3-style 2" pivot="0" count="4">
      <tableStyleElement type="wholeTable" size="0" dxfId="43"/>
      <tableStyleElement type="headerRow" dxfId="46"/>
      <tableStyleElement type="firstRowStripe" dxfId="45"/>
      <tableStyleElement type="secondRowStripe" dxfId="44"/>
    </tableStyle>
    <tableStyle name="Contoh 3-style 3" pivot="0" count="4">
      <tableStyleElement type="wholeTable" size="0" dxfId="39"/>
      <tableStyleElement type="headerRow" dxfId="42"/>
      <tableStyleElement type="firstRowStripe" dxfId="41"/>
      <tableStyleElement type="secondRowStripe" dxfId="40"/>
    </tableStyle>
    <tableStyle name="Contoh 2-style" pivot="0" count="4">
      <tableStyleElement type="wholeTable" size="0" dxfId="35"/>
      <tableStyleElement type="headerRow" dxfId="38"/>
      <tableStyleElement type="firstRowStripe" dxfId="37"/>
      <tableStyleElement type="secondRowStripe" dxfId="36"/>
    </tableStyle>
    <tableStyle name="Contoh 2-style 2" pivot="0" count="4">
      <tableStyleElement type="wholeTable" size="0" dxfId="31"/>
      <tableStyleElement type="headerRow" dxfId="34"/>
      <tableStyleElement type="firstRowStripe" dxfId="33"/>
      <tableStyleElement type="secondRowStripe" dxfId="32"/>
    </tableStyle>
    <tableStyle name="Contoh 2-style 3" pivot="0" count="4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Contoh 1-style" pivot="0" count="4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Contoh 1-style 2" pivot="0" count="4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Contoh 1-style 3" pivot="0" count="4">
      <tableStyleElement type="wholeTable" size="0" dxfId="15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Tinggi (cm) and Berat Badan (kg)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E84F-4CF4-80D5-D16E1E84DC6E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E84F-4CF4-80D5-D16E1E84DC6E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E84F-4CF4-80D5-D16E1E84DC6E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E84F-4CF4-80D5-D16E1E84DC6E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E84F-4CF4-80D5-D16E1E84DC6E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E84F-4CF4-80D5-D16E1E84DC6E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E84F-4CF4-80D5-D16E1E84DC6E}"/>
              </c:ext>
            </c:extLst>
          </c:dPt>
          <c:yVal>
            <c:numRef>
              <c:f>('Contoh 2'!$C$7:$C$12,'Contoh 2'!$D$7:$D$12)</c:f>
              <c:numCache>
                <c:formatCode>General</c:formatCode>
                <c:ptCount val="12"/>
                <c:pt idx="0">
                  <c:v>155</c:v>
                </c:pt>
                <c:pt idx="1">
                  <c:v>175</c:v>
                </c:pt>
                <c:pt idx="2">
                  <c:v>160</c:v>
                </c:pt>
                <c:pt idx="3">
                  <c:v>177</c:v>
                </c:pt>
                <c:pt idx="4">
                  <c:v>163</c:v>
                </c:pt>
                <c:pt idx="5">
                  <c:v>176</c:v>
                </c:pt>
                <c:pt idx="6">
                  <c:v>50</c:v>
                </c:pt>
                <c:pt idx="7">
                  <c:v>63</c:v>
                </c:pt>
                <c:pt idx="8">
                  <c:v>55</c:v>
                </c:pt>
                <c:pt idx="9">
                  <c:v>68</c:v>
                </c:pt>
                <c:pt idx="10">
                  <c:v>52</c:v>
                </c:pt>
                <c:pt idx="11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4F-4CF4-80D5-D16E1E84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4243"/>
        <c:axId val="472629479"/>
      </c:scatterChart>
      <c:valAx>
        <c:axId val="27994243"/>
        <c:scaling>
          <c:orientation val="minMax"/>
          <c:max val="18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Tinggi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2629479"/>
        <c:crosses val="autoZero"/>
        <c:crossBetween val="midCat"/>
        <c:majorUnit val="5"/>
        <c:minorUnit val="5"/>
      </c:valAx>
      <c:valAx>
        <c:axId val="472629479"/>
        <c:scaling>
          <c:orientation val="minMax"/>
          <c:max val="9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99424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13</xdr:row>
      <xdr:rowOff>57150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Nilai_Awal" displayName="Nilai_Awal" ref="B6:E12">
  <tableColumns count="4">
    <tableColumn id="1" name="X1​"/>
    <tableColumn id="2" name="X2​"/>
    <tableColumn id="3" name="X3​"/>
    <tableColumn id="4" name="Y (Klasifikasi)"/>
  </tableColumns>
  <tableStyleInfo name="Contoh 3-style" showFirstColumn="1" showLastColumn="1" showRowStripes="1" showColumnStripes="0"/>
</table>
</file>

<file path=xl/tables/table2.xml><?xml version="1.0" encoding="utf-8"?>
<table xmlns="http://schemas.openxmlformats.org/spreadsheetml/2006/main" id="2" name="Perhitungan" displayName="Perhitungan" ref="G6:K12">
  <tableColumns count="5">
    <tableColumn id="1" name="Jarak Kuadrat"/>
    <tableColumn id="2" name="Jarak Euclidean"/>
    <tableColumn id="3" name="Peringkat Jarak"/>
    <tableColumn id="4" name="Termasuk Nearest"/>
    <tableColumn id="5" name="Hasil"/>
  </tableColumns>
  <tableStyleInfo name="Contoh 3-style 2" showFirstColumn="1" showLastColumn="1" showRowStripes="1" showColumnStripes="0"/>
</table>
</file>

<file path=xl/tables/table3.xml><?xml version="1.0" encoding="utf-8"?>
<table xmlns="http://schemas.openxmlformats.org/spreadsheetml/2006/main" id="3" name="Hasil" displayName="Hasil" ref="G15:H17">
  <tableColumns count="2">
    <tableColumn id="1" name="Kategori"/>
    <tableColumn id="2" name="Jumlah Suara"/>
  </tableColumns>
  <tableStyleInfo name="Contoh 3-style 3" showFirstColumn="1" showLastColumn="1" showRowStripes="1" showColumnStripes="0"/>
</table>
</file>

<file path=xl/tables/table4.xml><?xml version="1.0" encoding="utf-8"?>
<table xmlns="http://schemas.openxmlformats.org/spreadsheetml/2006/main" id="4" name="Nilai" displayName="Nilai" ref="B6:E12">
  <tableColumns count="4">
    <tableColumn id="1" name="Nama"/>
    <tableColumn id="2" name="Tinggi (cm)"/>
    <tableColumn id="3" name="Berat Badan (kg)"/>
    <tableColumn id="4" name="Jenis Kelamin"/>
  </tableColumns>
  <tableStyleInfo name="Contoh 2-style" showFirstColumn="1" showLastColumn="1" showRowStripes="1" showColumnStripes="0"/>
</table>
</file>

<file path=xl/tables/table5.xml><?xml version="1.0" encoding="utf-8"?>
<table xmlns="http://schemas.openxmlformats.org/spreadsheetml/2006/main" id="5" name="Proses" displayName="Proses" ref="G6:I12">
  <tableColumns count="3">
    <tableColumn id="1" name="Jarak Euclidian"/>
    <tableColumn id="2" name="Ranking"/>
    <tableColumn id="3" name="Jenis Kelamin"/>
  </tableColumns>
  <tableStyleInfo name="Contoh 2-style 2" showFirstColumn="1" showLastColumn="1" showRowStripes="1" showColumnStripes="0"/>
</table>
</file>

<file path=xl/tables/table6.xml><?xml version="1.0" encoding="utf-8"?>
<table xmlns="http://schemas.openxmlformats.org/spreadsheetml/2006/main" id="6" name="Total" displayName="Total" ref="G15:H17">
  <tableColumns count="2">
    <tableColumn id="1" name="Jenis Kelamin"/>
    <tableColumn id="2" name="Total"/>
  </tableColumns>
  <tableStyleInfo name="Contoh 2-style 3" showFirstColumn="1" showLastColumn="1" showRowStripes="1" showColumnStripes="0"/>
</table>
</file>

<file path=xl/tables/table7.xml><?xml version="1.0" encoding="utf-8"?>
<table xmlns="http://schemas.openxmlformats.org/spreadsheetml/2006/main" id="7" name="Table1" displayName="Table1" ref="B6:D13">
  <tableColumns count="3">
    <tableColumn id="1" name="Daya Tahan Asam (detik)"/>
    <tableColumn id="2" name="Kekuatan (Kg/m2)"/>
    <tableColumn id="3" name="Hasil"/>
  </tableColumns>
  <tableStyleInfo name="Contoh 1-style" showFirstColumn="1" showLastColumn="1" showRowStripes="1" showColumnStripes="0"/>
</table>
</file>

<file path=xl/tables/table8.xml><?xml version="1.0" encoding="utf-8"?>
<table xmlns="http://schemas.openxmlformats.org/spreadsheetml/2006/main" id="8" name="Calc" displayName="Calc" ref="E6:G13">
  <tableColumns count="3">
    <tableColumn id="1" name="Euclidian Distance"/>
    <tableColumn id="2" name="Ranking"/>
    <tableColumn id="3" name="Nearest"/>
  </tableColumns>
  <tableStyleInfo name="Contoh 1-style 2" showFirstColumn="1" showLastColumn="1" showRowStripes="1" showColumnStripes="0"/>
</table>
</file>

<file path=xl/tables/table9.xml><?xml version="1.0" encoding="utf-8"?>
<table xmlns="http://schemas.openxmlformats.org/spreadsheetml/2006/main" id="9" name="Kesimpulan" displayName="Kesimpulan" ref="H6:I8">
  <tableColumns count="2">
    <tableColumn id="1" name="Kategori"/>
    <tableColumn id="2" name="Hasil"/>
  </tableColumns>
  <tableStyleInfo name="Contoh 1-style 3" showFirstColumn="1" showLastColumn="1" showRowStripes="1" showColumnStripes="0"/>
</table>
</file>

<file path=xl/tables/table10.xml><?xml version="1.0" encoding="utf-8"?>
<table xmlns="http://schemas.openxmlformats.org/spreadsheetml/2006/main" id="10" name="Table10" displayName="Table10" ref="C2:F8" totalsRowShown="0" headerRowDxfId="9" dataDxfId="10">
  <autoFilter ref="C2:F8"/>
  <tableColumns count="4">
    <tableColumn id="1" name="Takaran Saji" dataDxfId="14"/>
    <tableColumn id="2" name="Jumlah Saji Per Kemasan" dataDxfId="13"/>
    <tableColumn id="3" name="Energi Total" dataDxfId="12"/>
    <tableColumn id="4" name="Klasifikasi" dataDxfId="1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C11:F12" totalsRowShown="0" headerRowDxfId="4" dataDxfId="5">
  <autoFilter ref="C11:F12"/>
  <tableColumns count="4">
    <tableColumn id="1" name="Takaran Saji" dataDxfId="8"/>
    <tableColumn id="2" name="Jumlah Saji Per Kemasan" dataDxfId="7"/>
    <tableColumn id="3" name="Energi Total" dataDxfId="6"/>
    <tableColumn id="4" name="Klasifikasi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id="12" name="Perhitungan13" displayName="Perhitungan13" ref="H2:L8">
  <tableColumns count="5">
    <tableColumn id="1" name="Jarak Kuadrat" dataDxfId="3">
      <calculatedColumnFormula>((Table10[[#This Row],[Takaran Saji]]-Table11[Takaran Saji])^2)+((Table10[[#This Row],[Jumlah Saji Per Kemasan]]-Table11[Jumlah Saji Per Kemasan])^2)+((Table10[[#This Row],[Energi Total]]-Table11[Energi Total])^2)</calculatedColumnFormula>
    </tableColumn>
    <tableColumn id="2" name="Jarak Euclidean">
      <calculatedColumnFormula>SQRT(H3)</calculatedColumnFormula>
    </tableColumn>
    <tableColumn id="3" name="Peringkat Jarak" dataDxfId="2">
      <calculatedColumnFormula>RANK(I3,Perhitungan13[Jarak Euclidean],TRUE)</calculatedColumnFormula>
    </tableColumn>
    <tableColumn id="4" name="Termasuk Nearest" dataDxfId="1">
      <calculatedColumnFormula>IF(J3&lt;=$A$3,"Ya","Tidak")</calculatedColumnFormula>
    </tableColumn>
    <tableColumn id="5" name="Hasil" dataDxfId="0">
      <calculatedColumnFormula>IF(K3="Ya",Table10[[#This Row],[Klasifikasi]],"-")</calculatedColumnFormula>
    </tableColumn>
  </tableColumns>
  <tableStyleInfo name="Contoh 3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"/>
  <sheetViews>
    <sheetView workbookViewId="0">
      <selection activeCell="I7" sqref="I7"/>
    </sheetView>
  </sheetViews>
  <sheetFormatPr defaultColWidth="12.5703125" defaultRowHeight="15.75" customHeight="1" x14ac:dyDescent="0.2"/>
  <cols>
    <col min="1" max="1" width="14.42578125" customWidth="1"/>
    <col min="2" max="2" width="10.28515625" customWidth="1"/>
    <col min="3" max="3" width="10.42578125" customWidth="1"/>
    <col min="4" max="4" width="9.85546875" customWidth="1"/>
    <col min="5" max="5" width="15.5703125" customWidth="1"/>
    <col min="6" max="6" width="5.7109375" customWidth="1"/>
    <col min="7" max="7" width="20.42578125" customWidth="1"/>
    <col min="8" max="8" width="17.28515625" customWidth="1"/>
    <col min="9" max="9" width="17.140625" customWidth="1"/>
    <col min="10" max="10" width="19.140625" customWidth="1"/>
    <col min="11" max="11" width="9.28515625" customWidth="1"/>
  </cols>
  <sheetData>
    <row r="1" spans="1:11" x14ac:dyDescent="0.2">
      <c r="B1" s="1" t="s">
        <v>0</v>
      </c>
      <c r="C1" s="1" t="s">
        <v>1</v>
      </c>
      <c r="D1" s="1" t="s">
        <v>2</v>
      </c>
    </row>
    <row r="2" spans="1:11" x14ac:dyDescent="0.2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11" x14ac:dyDescent="0.2">
      <c r="B3" s="3">
        <v>50</v>
      </c>
      <c r="C3" s="3">
        <v>3</v>
      </c>
      <c r="D3" s="3">
        <v>40</v>
      </c>
      <c r="E3" s="3">
        <v>3</v>
      </c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</row>
    <row r="6" spans="1:11" x14ac:dyDescent="0.2">
      <c r="B6" s="4" t="s">
        <v>4</v>
      </c>
      <c r="C6" s="4" t="s">
        <v>5</v>
      </c>
      <c r="D6" s="4" t="s">
        <v>6</v>
      </c>
      <c r="E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</row>
    <row r="7" spans="1:11" x14ac:dyDescent="0.2">
      <c r="B7" s="5">
        <v>40</v>
      </c>
      <c r="C7" s="5">
        <v>5</v>
      </c>
      <c r="D7" s="5">
        <v>60</v>
      </c>
      <c r="E7" s="6" t="s">
        <v>14</v>
      </c>
      <c r="F7" s="1"/>
      <c r="G7" s="7">
        <f t="shared" ref="G7:G12" si="0">((B7-$B$3)^2)+((C7-$C$3)^2)+((D7-$D$3)^2)</f>
        <v>504</v>
      </c>
      <c r="H7" s="5">
        <f t="shared" ref="H7:H12" si="1">SQRT(G7)</f>
        <v>22.449944320643649</v>
      </c>
      <c r="I7" s="5">
        <f>RANK(H7,$H$7:$H$12,TRUE)</f>
        <v>3</v>
      </c>
      <c r="J7" s="5" t="str">
        <f t="shared" ref="J7:J12" si="2">IF(I7&lt;=$E$3,"Ya","Tidak")</f>
        <v>Ya</v>
      </c>
      <c r="K7" s="8" t="str">
        <f t="shared" ref="K7:K12" si="3">IF(J7="Ya",E7,"-")</f>
        <v>Jelek</v>
      </c>
    </row>
    <row r="8" spans="1:11" x14ac:dyDescent="0.2">
      <c r="B8" s="5">
        <v>50</v>
      </c>
      <c r="C8" s="5">
        <v>8</v>
      </c>
      <c r="D8" s="5">
        <v>40</v>
      </c>
      <c r="E8" s="6" t="s">
        <v>15</v>
      </c>
      <c r="F8" s="1"/>
      <c r="G8" s="7">
        <f t="shared" si="0"/>
        <v>25</v>
      </c>
      <c r="H8" s="5">
        <f t="shared" si="1"/>
        <v>5</v>
      </c>
      <c r="I8" s="5">
        <f t="shared" ref="I7:I12" si="4">RANK(H8,$H$7:$H$12,TRUE)</f>
        <v>1</v>
      </c>
      <c r="J8" s="5" t="str">
        <f t="shared" si="2"/>
        <v>Ya</v>
      </c>
      <c r="K8" s="8" t="str">
        <f t="shared" si="3"/>
        <v>Bagus</v>
      </c>
    </row>
    <row r="9" spans="1:11" x14ac:dyDescent="0.2">
      <c r="B9" s="5">
        <v>50</v>
      </c>
      <c r="C9" s="5">
        <v>7</v>
      </c>
      <c r="D9" s="5">
        <v>30</v>
      </c>
      <c r="E9" s="6" t="s">
        <v>14</v>
      </c>
      <c r="F9" s="1"/>
      <c r="G9" s="7">
        <f t="shared" si="0"/>
        <v>116</v>
      </c>
      <c r="H9" s="5">
        <f t="shared" si="1"/>
        <v>10.770329614269007</v>
      </c>
      <c r="I9" s="5">
        <f t="shared" si="4"/>
        <v>2</v>
      </c>
      <c r="J9" s="5" t="str">
        <f t="shared" si="2"/>
        <v>Ya</v>
      </c>
      <c r="K9" s="8" t="str">
        <f t="shared" si="3"/>
        <v>Jelek</v>
      </c>
    </row>
    <row r="10" spans="1:11" x14ac:dyDescent="0.2">
      <c r="B10" s="5">
        <v>70</v>
      </c>
      <c r="C10" s="5">
        <v>4</v>
      </c>
      <c r="D10" s="5">
        <v>60</v>
      </c>
      <c r="E10" s="6" t="s">
        <v>15</v>
      </c>
      <c r="F10" s="1"/>
      <c r="G10" s="7">
        <f t="shared" si="0"/>
        <v>801</v>
      </c>
      <c r="H10" s="5">
        <f t="shared" si="1"/>
        <v>28.301943396169811</v>
      </c>
      <c r="I10" s="5">
        <f t="shared" si="4"/>
        <v>5</v>
      </c>
      <c r="J10" s="5" t="str">
        <f t="shared" si="2"/>
        <v>Tidak</v>
      </c>
      <c r="K10" s="8" t="str">
        <f t="shared" si="3"/>
        <v>-</v>
      </c>
    </row>
    <row r="11" spans="1:11" x14ac:dyDescent="0.2">
      <c r="B11" s="5">
        <v>80</v>
      </c>
      <c r="C11" s="5">
        <v>4</v>
      </c>
      <c r="D11" s="5">
        <v>80</v>
      </c>
      <c r="E11" s="6" t="s">
        <v>15</v>
      </c>
      <c r="F11" s="1"/>
      <c r="G11" s="7">
        <f t="shared" si="0"/>
        <v>2501</v>
      </c>
      <c r="H11" s="5">
        <f t="shared" si="1"/>
        <v>50.009999000199947</v>
      </c>
      <c r="I11" s="5">
        <f t="shared" si="4"/>
        <v>6</v>
      </c>
      <c r="J11" s="5" t="str">
        <f t="shared" si="2"/>
        <v>Tidak</v>
      </c>
      <c r="K11" s="8" t="str">
        <f t="shared" si="3"/>
        <v>-</v>
      </c>
    </row>
    <row r="12" spans="1:11" x14ac:dyDescent="0.2">
      <c r="B12" s="5">
        <v>60</v>
      </c>
      <c r="C12" s="5">
        <v>6</v>
      </c>
      <c r="D12" s="5">
        <v>60</v>
      </c>
      <c r="E12" s="6" t="s">
        <v>15</v>
      </c>
      <c r="F12" s="1"/>
      <c r="G12" s="7">
        <f t="shared" si="0"/>
        <v>509</v>
      </c>
      <c r="H12" s="5">
        <f t="shared" si="1"/>
        <v>22.561028345356956</v>
      </c>
      <c r="I12" s="5">
        <f t="shared" si="4"/>
        <v>4</v>
      </c>
      <c r="J12" s="5" t="str">
        <f t="shared" si="2"/>
        <v>Tidak</v>
      </c>
      <c r="K12" s="8" t="str">
        <f t="shared" si="3"/>
        <v>-</v>
      </c>
    </row>
    <row r="15" spans="1:11" x14ac:dyDescent="0.2">
      <c r="G15" s="4" t="s">
        <v>16</v>
      </c>
      <c r="H15" s="4" t="s">
        <v>17</v>
      </c>
    </row>
    <row r="16" spans="1:11" x14ac:dyDescent="0.2">
      <c r="G16" s="5" t="s">
        <v>15</v>
      </c>
      <c r="H16" s="8">
        <f>COUNTIFS(Perhitungan[Hasil],G16)</f>
        <v>1</v>
      </c>
    </row>
    <row r="17" spans="7:8" x14ac:dyDescent="0.2">
      <c r="G17" s="5" t="s">
        <v>14</v>
      </c>
      <c r="H17" s="8">
        <f>COUNTIFS(Perhitungan[Hasil],G17)</f>
        <v>2</v>
      </c>
    </row>
    <row r="19" spans="7:8" x14ac:dyDescent="0.2">
      <c r="G19" s="28" t="str">
        <f>"Jadi kesimpulannya adalah "</f>
        <v xml:space="preserve">Jadi kesimpulannya adalah </v>
      </c>
      <c r="H19" s="29"/>
    </row>
    <row r="20" spans="7:8" x14ac:dyDescent="0.2">
      <c r="G20" s="9" t="str">
        <f>IF(H16&gt;H17,"Bagus",IF(H16&lt;H17,"Jelek","Diantaranya"))</f>
        <v>Jelek</v>
      </c>
    </row>
  </sheetData>
  <mergeCells count="1">
    <mergeCell ref="G19:H1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I19"/>
  <sheetViews>
    <sheetView workbookViewId="0"/>
  </sheetViews>
  <sheetFormatPr defaultColWidth="12.5703125" defaultRowHeight="15.75" customHeight="1" x14ac:dyDescent="0.2"/>
  <cols>
    <col min="3" max="3" width="14" customWidth="1"/>
    <col min="4" max="4" width="17.85546875" customWidth="1"/>
    <col min="5" max="5" width="16" customWidth="1"/>
    <col min="7" max="7" width="16.7109375" customWidth="1"/>
    <col min="9" max="9" width="16" customWidth="1"/>
  </cols>
  <sheetData>
    <row r="2" spans="2:9" x14ac:dyDescent="0.2">
      <c r="C2" s="10" t="s">
        <v>18</v>
      </c>
      <c r="D2" s="10" t="s">
        <v>19</v>
      </c>
      <c r="E2" s="11" t="s">
        <v>20</v>
      </c>
      <c r="F2" s="10" t="s">
        <v>7</v>
      </c>
    </row>
    <row r="3" spans="2:9" x14ac:dyDescent="0.2">
      <c r="C3" s="10">
        <v>172</v>
      </c>
      <c r="D3" s="10">
        <v>58</v>
      </c>
      <c r="E3" s="12" t="str">
        <f>IF(H16&gt;H17,G16,IF(H16&lt;H17,G17,"Diantaranya"))</f>
        <v>L</v>
      </c>
      <c r="F3" s="10">
        <v>3</v>
      </c>
    </row>
    <row r="6" spans="2:9" x14ac:dyDescent="0.2">
      <c r="B6" s="13" t="s">
        <v>21</v>
      </c>
      <c r="C6" s="13" t="s">
        <v>22</v>
      </c>
      <c r="D6" s="13" t="s">
        <v>23</v>
      </c>
      <c r="E6" s="13" t="s">
        <v>20</v>
      </c>
      <c r="G6" s="4" t="s">
        <v>24</v>
      </c>
      <c r="H6" s="4" t="s">
        <v>25</v>
      </c>
      <c r="I6" s="4" t="s">
        <v>20</v>
      </c>
    </row>
    <row r="7" spans="2:9" x14ac:dyDescent="0.2">
      <c r="B7" s="13" t="s">
        <v>26</v>
      </c>
      <c r="C7" s="13">
        <v>155</v>
      </c>
      <c r="D7" s="13">
        <v>50</v>
      </c>
      <c r="E7" s="13" t="s">
        <v>27</v>
      </c>
      <c r="G7" s="14">
        <f t="shared" ref="G7:G12" si="0">SQRT(((C7-$C$3)^2)+((D7-$D$3)^2))</f>
        <v>18.788294228055936</v>
      </c>
      <c r="H7" s="14">
        <f t="shared" ref="H7:H12" si="1">RANK(G7,$G$7:$G$12,1)</f>
        <v>5</v>
      </c>
      <c r="I7" s="14" t="str">
        <f t="shared" ref="I7:I12" si="2">IF(H7&lt;=$F$3,E7,"-")</f>
        <v>-</v>
      </c>
    </row>
    <row r="8" spans="2:9" x14ac:dyDescent="0.2">
      <c r="B8" s="13" t="s">
        <v>28</v>
      </c>
      <c r="C8" s="13">
        <v>175</v>
      </c>
      <c r="D8" s="13">
        <v>63</v>
      </c>
      <c r="E8" s="13" t="s">
        <v>29</v>
      </c>
      <c r="G8" s="14">
        <f t="shared" si="0"/>
        <v>5.8309518948453007</v>
      </c>
      <c r="H8" s="14">
        <f t="shared" si="1"/>
        <v>1</v>
      </c>
      <c r="I8" s="14" t="str">
        <f t="shared" si="2"/>
        <v>L</v>
      </c>
    </row>
    <row r="9" spans="2:9" x14ac:dyDescent="0.2">
      <c r="B9" s="13" t="s">
        <v>30</v>
      </c>
      <c r="C9" s="13">
        <v>160</v>
      </c>
      <c r="D9" s="13">
        <v>55</v>
      </c>
      <c r="E9" s="13" t="s">
        <v>27</v>
      </c>
      <c r="G9" s="14">
        <f t="shared" si="0"/>
        <v>12.369316876852981</v>
      </c>
      <c r="H9" s="14">
        <f t="shared" si="1"/>
        <v>4</v>
      </c>
      <c r="I9" s="14" t="str">
        <f t="shared" si="2"/>
        <v>-</v>
      </c>
    </row>
    <row r="10" spans="2:9" x14ac:dyDescent="0.2">
      <c r="B10" s="13" t="s">
        <v>31</v>
      </c>
      <c r="C10" s="13">
        <v>177</v>
      </c>
      <c r="D10" s="13">
        <v>68</v>
      </c>
      <c r="E10" s="13" t="s">
        <v>29</v>
      </c>
      <c r="G10" s="14">
        <f t="shared" si="0"/>
        <v>11.180339887498949</v>
      </c>
      <c r="H10" s="14">
        <f t="shared" si="1"/>
        <v>3</v>
      </c>
      <c r="I10" s="14" t="str">
        <f t="shared" si="2"/>
        <v>L</v>
      </c>
    </row>
    <row r="11" spans="2:9" x14ac:dyDescent="0.2">
      <c r="B11" s="13" t="s">
        <v>32</v>
      </c>
      <c r="C11" s="13">
        <v>163</v>
      </c>
      <c r="D11" s="13">
        <v>52</v>
      </c>
      <c r="E11" s="13" t="s">
        <v>27</v>
      </c>
      <c r="G11" s="14">
        <f t="shared" si="0"/>
        <v>10.816653826391969</v>
      </c>
      <c r="H11" s="14">
        <f t="shared" si="1"/>
        <v>2</v>
      </c>
      <c r="I11" s="14" t="str">
        <f t="shared" si="2"/>
        <v>P</v>
      </c>
    </row>
    <row r="12" spans="2:9" x14ac:dyDescent="0.2">
      <c r="B12" s="13" t="s">
        <v>33</v>
      </c>
      <c r="C12" s="13">
        <v>176</v>
      </c>
      <c r="D12" s="13">
        <v>78</v>
      </c>
      <c r="E12" s="13" t="s">
        <v>29</v>
      </c>
      <c r="G12" s="14">
        <f t="shared" si="0"/>
        <v>20.396078054371138</v>
      </c>
      <c r="H12" s="14">
        <f t="shared" si="1"/>
        <v>6</v>
      </c>
      <c r="I12" s="14" t="str">
        <f t="shared" si="2"/>
        <v>-</v>
      </c>
    </row>
    <row r="15" spans="2:9" x14ac:dyDescent="0.2">
      <c r="G15" s="13" t="s">
        <v>20</v>
      </c>
      <c r="H15" s="13" t="s">
        <v>34</v>
      </c>
    </row>
    <row r="16" spans="2:9" x14ac:dyDescent="0.2">
      <c r="G16" s="13" t="s">
        <v>29</v>
      </c>
      <c r="H16" s="14">
        <f>COUNTIFS(Proses[Jenis Kelamin],G16)</f>
        <v>2</v>
      </c>
    </row>
    <row r="17" spans="7:8" x14ac:dyDescent="0.2">
      <c r="G17" s="13" t="s">
        <v>27</v>
      </c>
      <c r="H17" s="14">
        <f>COUNTIFS(Proses[Jenis Kelamin],G17)</f>
        <v>1</v>
      </c>
    </row>
    <row r="19" spans="7:8" ht="15.75" customHeight="1" x14ac:dyDescent="0.25">
      <c r="G19" s="15"/>
      <c r="H19" s="16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I13"/>
  <sheetViews>
    <sheetView workbookViewId="0">
      <selection activeCell="E6" sqref="E6:G13"/>
    </sheetView>
  </sheetViews>
  <sheetFormatPr defaultColWidth="12.5703125" defaultRowHeight="15.75" customHeight="1" x14ac:dyDescent="0.2"/>
  <cols>
    <col min="2" max="2" width="15.42578125" customWidth="1"/>
    <col min="3" max="3" width="15.140625" customWidth="1"/>
  </cols>
  <sheetData>
    <row r="2" spans="1:9" ht="12.75" x14ac:dyDescent="0.2">
      <c r="A2" s="1" t="s">
        <v>35</v>
      </c>
      <c r="B2" s="17" t="s">
        <v>36</v>
      </c>
      <c r="C2" s="17" t="s">
        <v>37</v>
      </c>
      <c r="D2" s="18" t="s">
        <v>7</v>
      </c>
      <c r="E2" s="19" t="s">
        <v>13</v>
      </c>
    </row>
    <row r="3" spans="1:9" ht="12.75" x14ac:dyDescent="0.2">
      <c r="B3" s="20">
        <v>7</v>
      </c>
      <c r="C3" s="20">
        <v>4</v>
      </c>
      <c r="D3" s="21">
        <v>4</v>
      </c>
      <c r="E3" s="22" t="str">
        <f>IF(I7&gt;I8,H7,IF(I7&lt;I8,H8,"Diantaranya"))</f>
        <v>Baik</v>
      </c>
    </row>
    <row r="6" spans="1:9" ht="38.25" customHeight="1" x14ac:dyDescent="0.2">
      <c r="B6" s="23" t="s">
        <v>38</v>
      </c>
      <c r="C6" s="23" t="s">
        <v>39</v>
      </c>
      <c r="D6" s="24" t="s">
        <v>13</v>
      </c>
      <c r="E6" s="23" t="s">
        <v>40</v>
      </c>
      <c r="F6" s="23" t="s">
        <v>25</v>
      </c>
      <c r="G6" s="23" t="s">
        <v>41</v>
      </c>
      <c r="H6" s="23" t="s">
        <v>16</v>
      </c>
      <c r="I6" s="23" t="s">
        <v>13</v>
      </c>
    </row>
    <row r="7" spans="1:9" ht="12.75" x14ac:dyDescent="0.2">
      <c r="B7" s="13">
        <v>8</v>
      </c>
      <c r="C7" s="13">
        <v>4</v>
      </c>
      <c r="D7" s="25" t="s">
        <v>42</v>
      </c>
      <c r="E7" s="26">
        <f t="shared" ref="E7:E13" si="0">(((B7-$B$3)^2)+((C7-$C$3)^2))</f>
        <v>1</v>
      </c>
      <c r="F7" s="26">
        <f>RANK(E7,Calc[Euclidian Distance],1)</f>
        <v>1</v>
      </c>
      <c r="G7" s="23" t="str">
        <f t="shared" ref="G7:G13" si="1">IF(F7&lt;=$D$3,D7,"-")</f>
        <v>Baik</v>
      </c>
      <c r="H7" s="23" t="s">
        <v>42</v>
      </c>
      <c r="I7" s="23">
        <f>COUNTIF(Calc[Nearest],H7)</f>
        <v>3</v>
      </c>
    </row>
    <row r="8" spans="1:9" ht="12.75" x14ac:dyDescent="0.2">
      <c r="B8" s="13">
        <v>4</v>
      </c>
      <c r="C8" s="13">
        <v>5</v>
      </c>
      <c r="D8" s="25" t="s">
        <v>14</v>
      </c>
      <c r="E8" s="26">
        <f t="shared" si="0"/>
        <v>10</v>
      </c>
      <c r="F8" s="26">
        <f>RANK(E8,Calc[Euclidian Distance],1)</f>
        <v>5</v>
      </c>
      <c r="G8" s="23" t="str">
        <f t="shared" si="1"/>
        <v>-</v>
      </c>
      <c r="H8" s="23" t="s">
        <v>14</v>
      </c>
      <c r="I8" s="23">
        <f>COUNTIF(Calc[Nearest],H8)</f>
        <v>1</v>
      </c>
    </row>
    <row r="9" spans="1:9" ht="12.75" x14ac:dyDescent="0.2">
      <c r="B9" s="13">
        <v>4</v>
      </c>
      <c r="C9" s="13">
        <v>6</v>
      </c>
      <c r="D9" s="25" t="s">
        <v>14</v>
      </c>
      <c r="E9" s="26">
        <f t="shared" si="0"/>
        <v>13</v>
      </c>
      <c r="F9" s="26">
        <f>RANK(E9,Calc[Euclidian Distance],1)</f>
        <v>6</v>
      </c>
      <c r="G9" s="23" t="str">
        <f t="shared" si="1"/>
        <v>-</v>
      </c>
      <c r="H9" s="27"/>
    </row>
    <row r="10" spans="1:9" ht="12.75" x14ac:dyDescent="0.2">
      <c r="B10" s="13">
        <v>7</v>
      </c>
      <c r="C10" s="13">
        <v>7</v>
      </c>
      <c r="D10" s="25" t="s">
        <v>42</v>
      </c>
      <c r="E10" s="26">
        <f t="shared" si="0"/>
        <v>9</v>
      </c>
      <c r="F10" s="26">
        <f>RANK(E10,Calc[Euclidian Distance],1)</f>
        <v>4</v>
      </c>
      <c r="G10" s="23" t="str">
        <f t="shared" si="1"/>
        <v>Baik</v>
      </c>
      <c r="H10" s="27"/>
    </row>
    <row r="11" spans="1:9" ht="12.75" x14ac:dyDescent="0.2">
      <c r="B11" s="13">
        <v>5</v>
      </c>
      <c r="C11" s="13">
        <v>6</v>
      </c>
      <c r="D11" s="25" t="s">
        <v>14</v>
      </c>
      <c r="E11" s="26">
        <f t="shared" si="0"/>
        <v>8</v>
      </c>
      <c r="F11" s="26">
        <f>RANK(E11,Calc[Euclidian Distance],1)</f>
        <v>3</v>
      </c>
      <c r="G11" s="23" t="str">
        <f t="shared" si="1"/>
        <v>Jelek</v>
      </c>
      <c r="H11" s="27"/>
    </row>
    <row r="12" spans="1:9" ht="12.75" x14ac:dyDescent="0.2">
      <c r="B12" s="13">
        <v>6</v>
      </c>
      <c r="C12" s="13">
        <v>5</v>
      </c>
      <c r="D12" s="25" t="s">
        <v>42</v>
      </c>
      <c r="E12" s="26">
        <f t="shared" si="0"/>
        <v>2</v>
      </c>
      <c r="F12" s="26">
        <f>RANK(E12,Calc[Euclidian Distance],1)</f>
        <v>2</v>
      </c>
      <c r="G12" s="23" t="str">
        <f t="shared" si="1"/>
        <v>Baik</v>
      </c>
      <c r="H12" s="27"/>
    </row>
    <row r="13" spans="1:9" ht="12.75" x14ac:dyDescent="0.2">
      <c r="B13" s="13">
        <v>5</v>
      </c>
      <c r="C13" s="13">
        <v>7</v>
      </c>
      <c r="D13" s="13" t="s">
        <v>42</v>
      </c>
      <c r="E13" s="26">
        <f t="shared" si="0"/>
        <v>13</v>
      </c>
      <c r="F13" s="26">
        <f>RANK(E13,Calc[Euclidian Distance],1)</f>
        <v>6</v>
      </c>
      <c r="G13" s="23" t="str">
        <f t="shared" si="1"/>
        <v>-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2"/>
  <sheetViews>
    <sheetView tabSelected="1" workbookViewId="0">
      <selection activeCell="L11" sqref="L11"/>
    </sheetView>
  </sheetViews>
  <sheetFormatPr defaultRowHeight="12.75" x14ac:dyDescent="0.2"/>
  <cols>
    <col min="3" max="3" width="13.42578125" customWidth="1"/>
    <col min="4" max="4" width="16.140625" customWidth="1"/>
    <col min="5" max="5" width="13" customWidth="1"/>
    <col min="6" max="6" width="11.5703125" customWidth="1"/>
    <col min="8" max="8" width="13.42578125" customWidth="1"/>
    <col min="9" max="9" width="19.85546875" customWidth="1"/>
    <col min="10" max="10" width="13" customWidth="1"/>
    <col min="11" max="11" width="11.5703125" customWidth="1"/>
  </cols>
  <sheetData>
    <row r="2" spans="1:12" ht="47.25" customHeight="1" x14ac:dyDescent="0.2">
      <c r="A2" s="34" t="s">
        <v>7</v>
      </c>
      <c r="C2" s="31" t="s">
        <v>0</v>
      </c>
      <c r="D2" s="31" t="s">
        <v>43</v>
      </c>
      <c r="E2" s="31" t="s">
        <v>2</v>
      </c>
      <c r="F2" s="31" t="s">
        <v>44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</row>
    <row r="3" spans="1:12" ht="14.25" x14ac:dyDescent="0.2">
      <c r="A3" s="34">
        <v>4</v>
      </c>
      <c r="C3" s="32">
        <v>40</v>
      </c>
      <c r="D3" s="32">
        <v>5</v>
      </c>
      <c r="E3" s="32">
        <v>60</v>
      </c>
      <c r="F3" s="32" t="s">
        <v>14</v>
      </c>
      <c r="H3" s="7">
        <f>((Table10[[#This Row],[Takaran Saji]]-Table11[Takaran Saji])^2)+((Table10[[#This Row],[Jumlah Saji Per Kemasan]]-Table11[Jumlah Saji Per Kemasan])^2)+((Table10[[#This Row],[Energi Total]]-Table11[Energi Total])^2)</f>
        <v>504</v>
      </c>
      <c r="I3" s="8">
        <f t="shared" ref="I3:I8" si="0">SQRT(H3)</f>
        <v>22.449944320643649</v>
      </c>
      <c r="J3" s="8">
        <f>RANK(I3,Perhitungan13[Jarak Euclidean],TRUE)</f>
        <v>3</v>
      </c>
      <c r="K3" s="8" t="str">
        <f t="shared" ref="K3:K8" si="1">IF(J3&lt;=$A$3,"Ya","Tidak")</f>
        <v>Ya</v>
      </c>
      <c r="L3" s="8" t="str">
        <f>IF(K3="Ya",Table10[[#This Row],[Klasifikasi]],"-")</f>
        <v>Jelek</v>
      </c>
    </row>
    <row r="4" spans="1:12" x14ac:dyDescent="0.2">
      <c r="C4" s="32">
        <v>50</v>
      </c>
      <c r="D4" s="32">
        <v>8</v>
      </c>
      <c r="E4" s="32">
        <v>40</v>
      </c>
      <c r="F4" s="32" t="s">
        <v>15</v>
      </c>
      <c r="H4" s="7">
        <f>((Table10[[#This Row],[Takaran Saji]]-Table11[Takaran Saji])^2)+((Table10[[#This Row],[Jumlah Saji Per Kemasan]]-Table11[Jumlah Saji Per Kemasan])^2)+((Table10[[#This Row],[Energi Total]]-Table11[Energi Total])^2)</f>
        <v>25</v>
      </c>
      <c r="I4" s="8">
        <f t="shared" si="0"/>
        <v>5</v>
      </c>
      <c r="J4" s="8">
        <f>RANK(I4,Perhitungan13[Jarak Euclidean],TRUE)</f>
        <v>1</v>
      </c>
      <c r="K4" s="8" t="str">
        <f t="shared" si="1"/>
        <v>Ya</v>
      </c>
      <c r="L4" s="8" t="str">
        <f>IF(K4="Ya",Table10[[#This Row],[Klasifikasi]],"-")</f>
        <v>Bagus</v>
      </c>
    </row>
    <row r="5" spans="1:12" x14ac:dyDescent="0.2">
      <c r="C5" s="32">
        <v>50</v>
      </c>
      <c r="D5" s="32">
        <v>7</v>
      </c>
      <c r="E5" s="32">
        <v>30</v>
      </c>
      <c r="F5" s="32" t="s">
        <v>14</v>
      </c>
      <c r="H5" s="7">
        <f>((Table10[[#This Row],[Takaran Saji]]-Table11[Takaran Saji])^2)+((Table10[[#This Row],[Jumlah Saji Per Kemasan]]-Table11[Jumlah Saji Per Kemasan])^2)+((Table10[[#This Row],[Energi Total]]-Table11[Energi Total])^2)</f>
        <v>116</v>
      </c>
      <c r="I5" s="8">
        <f t="shared" si="0"/>
        <v>10.770329614269007</v>
      </c>
      <c r="J5" s="8">
        <f>RANK(I5,Perhitungan13[Jarak Euclidean],TRUE)</f>
        <v>2</v>
      </c>
      <c r="K5" s="8" t="str">
        <f t="shared" si="1"/>
        <v>Ya</v>
      </c>
      <c r="L5" s="8" t="str">
        <f>IF(K5="Ya",Table10[[#This Row],[Klasifikasi]],"-")</f>
        <v>Jelek</v>
      </c>
    </row>
    <row r="6" spans="1:12" x14ac:dyDescent="0.2">
      <c r="C6" s="32">
        <v>70</v>
      </c>
      <c r="D6" s="32">
        <v>4</v>
      </c>
      <c r="E6" s="32">
        <v>60</v>
      </c>
      <c r="F6" s="33" t="s">
        <v>15</v>
      </c>
      <c r="H6" s="7">
        <f>((Table10[[#This Row],[Takaran Saji]]-Table11[Takaran Saji])^2)+((Table10[[#This Row],[Jumlah Saji Per Kemasan]]-Table11[Jumlah Saji Per Kemasan])^2)+((Table10[[#This Row],[Energi Total]]-Table11[Energi Total])^2)</f>
        <v>801</v>
      </c>
      <c r="I6" s="8">
        <f t="shared" si="0"/>
        <v>28.301943396169811</v>
      </c>
      <c r="J6" s="8">
        <f>RANK(I6,Perhitungan13[Jarak Euclidean],TRUE)</f>
        <v>5</v>
      </c>
      <c r="K6" s="8" t="str">
        <f t="shared" si="1"/>
        <v>Tidak</v>
      </c>
      <c r="L6" s="8" t="str">
        <f>IF(K6="Ya",Table10[[#This Row],[Klasifikasi]],"-")</f>
        <v>-</v>
      </c>
    </row>
    <row r="7" spans="1:12" x14ac:dyDescent="0.2">
      <c r="C7" s="32">
        <v>80</v>
      </c>
      <c r="D7" s="32">
        <v>4</v>
      </c>
      <c r="E7" s="32">
        <v>80</v>
      </c>
      <c r="F7" s="33" t="s">
        <v>15</v>
      </c>
      <c r="H7" s="7">
        <f>((Table10[[#This Row],[Takaran Saji]]-Table11[Takaran Saji])^2)+((Table10[[#This Row],[Jumlah Saji Per Kemasan]]-Table11[Jumlah Saji Per Kemasan])^2)+((Table10[[#This Row],[Energi Total]]-Table11[Energi Total])^2)</f>
        <v>2501</v>
      </c>
      <c r="I7" s="8">
        <f t="shared" si="0"/>
        <v>50.009999000199947</v>
      </c>
      <c r="J7" s="8">
        <f>RANK(I7,Perhitungan13[Jarak Euclidean],TRUE)</f>
        <v>6</v>
      </c>
      <c r="K7" s="8" t="str">
        <f t="shared" si="1"/>
        <v>Tidak</v>
      </c>
      <c r="L7" s="8" t="str">
        <f>IF(K7="Ya",Table10[[#This Row],[Klasifikasi]],"-")</f>
        <v>-</v>
      </c>
    </row>
    <row r="8" spans="1:12" x14ac:dyDescent="0.2">
      <c r="C8" s="32">
        <v>60</v>
      </c>
      <c r="D8" s="32">
        <v>6</v>
      </c>
      <c r="E8" s="32">
        <v>60</v>
      </c>
      <c r="F8" s="33" t="s">
        <v>15</v>
      </c>
      <c r="H8" s="7">
        <f>((Table10[[#This Row],[Takaran Saji]]-Table11[Takaran Saji])^2)+((Table10[[#This Row],[Jumlah Saji Per Kemasan]]-Table11[Jumlah Saji Per Kemasan])^2)+((Table10[[#This Row],[Energi Total]]-Table11[Energi Total])^2)</f>
        <v>509</v>
      </c>
      <c r="I8" s="8">
        <f t="shared" si="0"/>
        <v>22.561028345356956</v>
      </c>
      <c r="J8" s="8">
        <f>RANK(I8,Perhitungan13[Jarak Euclidean],TRUE)</f>
        <v>4</v>
      </c>
      <c r="K8" s="8" t="str">
        <f t="shared" si="1"/>
        <v>Ya</v>
      </c>
      <c r="L8" s="8" t="str">
        <f>IF(K8="Ya",Table10[[#This Row],[Klasifikasi]],"-")</f>
        <v>Bagus</v>
      </c>
    </row>
    <row r="11" spans="1:12" ht="41.25" customHeight="1" x14ac:dyDescent="0.2">
      <c r="C11" s="31" t="s">
        <v>0</v>
      </c>
      <c r="D11" s="31" t="s">
        <v>43</v>
      </c>
      <c r="E11" s="31" t="s">
        <v>2</v>
      </c>
      <c r="F11" s="31" t="s">
        <v>44</v>
      </c>
      <c r="I11" s="30"/>
    </row>
    <row r="12" spans="1:12" x14ac:dyDescent="0.2">
      <c r="C12" s="32">
        <v>50</v>
      </c>
      <c r="D12" s="32">
        <v>3</v>
      </c>
      <c r="E12" s="32">
        <v>40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Contoh 3</vt:lpstr>
      <vt:lpstr>Contoh 2</vt:lpstr>
      <vt:lpstr>Contoh 1</vt:lpstr>
      <vt:lpstr>Tugas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Blank Zero</cp:lastModifiedBy>
  <dcterms:modified xsi:type="dcterms:W3CDTF">2025-11-03T06:53:11Z</dcterms:modified>
</cp:coreProperties>
</file>