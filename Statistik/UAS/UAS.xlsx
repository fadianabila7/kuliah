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uliah\Statistik\UAS\"/>
    </mc:Choice>
  </mc:AlternateContent>
  <bookViews>
    <workbookView xWindow="0" yWindow="0" windowWidth="30720" windowHeight="128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9" i="1" l="1"/>
  <c r="M16" i="1"/>
  <c r="M13" i="1"/>
  <c r="M10" i="1"/>
  <c r="H19" i="1"/>
  <c r="H17" i="1"/>
  <c r="H16" i="1"/>
  <c r="H14" i="1"/>
  <c r="H13" i="1"/>
  <c r="H11" i="1"/>
  <c r="H10" i="1"/>
  <c r="C23" i="1"/>
  <c r="D23" i="1"/>
  <c r="E23" i="1"/>
  <c r="B2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<sst xmlns="http://schemas.openxmlformats.org/spreadsheetml/2006/main" count="5" uniqueCount="5">
  <si>
    <t>Waktu (X)</t>
  </si>
  <si>
    <t>Nilai (Y)</t>
  </si>
  <si>
    <t>X²</t>
  </si>
  <si>
    <t>XY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</si>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</sst>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8" formatCode="_-* #,##0.0_-;\-* #,##0.0_-;_-* &quot;-&quot;??_-;_-@_-"/>
    <numFmt numFmtId="169" formatCode="_-* #,##0_-;\-* #,##0_-;_-* &quot;-&quot;??_-;_-@_-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/>
    </xf>
    <xf numFmtId="168" fontId="2" fillId="0" borderId="1" xfId="1" applyNumberFormat="1" applyFont="1" applyBorder="1"/>
    <xf numFmtId="43" fontId="0" fillId="0" borderId="1" xfId="1" applyFont="1" applyBorder="1"/>
    <xf numFmtId="169" fontId="0" fillId="0" borderId="1" xfId="1" applyNumberFormat="1" applyFont="1" applyBorder="1"/>
    <xf numFmtId="43" fontId="0" fillId="0" borderId="1" xfId="1" applyNumberFormat="1" applyFont="1" applyBorder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0" xfId="0" applyBorder="1"/>
    <xf numFmtId="2" fontId="0" fillId="0" borderId="0" xfId="0" applyNumberFormat="1"/>
    <xf numFmtId="0" fontId="0" fillId="0" borderId="0" xfId="0" applyAlignment="1">
      <alignment horizontal="center"/>
    </xf>
    <xf numFmtId="168" fontId="5" fillId="2" borderId="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335280</xdr:colOff>
      <xdr:row>4</xdr:row>
      <xdr:rowOff>167640</xdr:rowOff>
    </xdr:from>
    <xdr:to>
      <xdr:col>8</xdr:col>
      <xdr:colOff>571500</xdr:colOff>
      <xdr:row>8</xdr:row>
      <xdr:rowOff>114300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2880" y="899160"/>
          <a:ext cx="145542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335280</xdr:colOff>
      <xdr:row>9</xdr:row>
      <xdr:rowOff>83820</xdr:rowOff>
    </xdr:from>
    <xdr:to>
      <xdr:col>6</xdr:col>
      <xdr:colOff>571500</xdr:colOff>
      <xdr:row>11</xdr:row>
      <xdr:rowOff>167640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2880" y="1729740"/>
          <a:ext cx="236220" cy="449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358140</xdr:colOff>
      <xdr:row>12</xdr:row>
      <xdr:rowOff>76200</xdr:rowOff>
    </xdr:from>
    <xdr:to>
      <xdr:col>6</xdr:col>
      <xdr:colOff>594360</xdr:colOff>
      <xdr:row>14</xdr:row>
      <xdr:rowOff>160020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5740" y="2270760"/>
          <a:ext cx="236220" cy="449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342900</xdr:colOff>
      <xdr:row>15</xdr:row>
      <xdr:rowOff>76200</xdr:rowOff>
    </xdr:from>
    <xdr:to>
      <xdr:col>6</xdr:col>
      <xdr:colOff>579120</xdr:colOff>
      <xdr:row>17</xdr:row>
      <xdr:rowOff>160020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0" y="2819400"/>
          <a:ext cx="236220" cy="449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358140</xdr:colOff>
      <xdr:row>18</xdr:row>
      <xdr:rowOff>15240</xdr:rowOff>
    </xdr:from>
    <xdr:to>
      <xdr:col>6</xdr:col>
      <xdr:colOff>594360</xdr:colOff>
      <xdr:row>20</xdr:row>
      <xdr:rowOff>99060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5740" y="3307080"/>
          <a:ext cx="236220" cy="449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358140</xdr:colOff>
      <xdr:row>4</xdr:row>
      <xdr:rowOff>167640</xdr:rowOff>
    </xdr:from>
    <xdr:to>
      <xdr:col>13</xdr:col>
      <xdr:colOff>236220</xdr:colOff>
      <xdr:row>8</xdr:row>
      <xdr:rowOff>53340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899160"/>
          <a:ext cx="109728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335280</xdr:colOff>
      <xdr:row>9</xdr:row>
      <xdr:rowOff>83820</xdr:rowOff>
    </xdr:from>
    <xdr:to>
      <xdr:col>11</xdr:col>
      <xdr:colOff>563880</xdr:colOff>
      <xdr:row>11</xdr:row>
      <xdr:rowOff>167640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1360" y="1729740"/>
          <a:ext cx="228600" cy="449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335280</xdr:colOff>
      <xdr:row>12</xdr:row>
      <xdr:rowOff>60960</xdr:rowOff>
    </xdr:from>
    <xdr:to>
      <xdr:col>11</xdr:col>
      <xdr:colOff>563880</xdr:colOff>
      <xdr:row>14</xdr:row>
      <xdr:rowOff>144780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1360" y="2255520"/>
          <a:ext cx="228600" cy="449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342900</xdr:colOff>
      <xdr:row>15</xdr:row>
      <xdr:rowOff>76200</xdr:rowOff>
    </xdr:from>
    <xdr:to>
      <xdr:col>11</xdr:col>
      <xdr:colOff>571500</xdr:colOff>
      <xdr:row>17</xdr:row>
      <xdr:rowOff>160020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8980" y="2819400"/>
          <a:ext cx="228600" cy="449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335280</xdr:colOff>
      <xdr:row>18</xdr:row>
      <xdr:rowOff>15240</xdr:rowOff>
    </xdr:from>
    <xdr:to>
      <xdr:col>11</xdr:col>
      <xdr:colOff>563880</xdr:colOff>
      <xdr:row>20</xdr:row>
      <xdr:rowOff>99060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1360" y="3307080"/>
          <a:ext cx="228600" cy="449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3"/>
  <sheetViews>
    <sheetView tabSelected="1" workbookViewId="0">
      <selection activeCell="R8" sqref="R8"/>
    </sheetView>
  </sheetViews>
  <sheetFormatPr defaultRowHeight="14.4" x14ac:dyDescent="0.3"/>
  <cols>
    <col min="6" max="6" width="1.5546875" customWidth="1"/>
    <col min="8" max="8" width="9.33203125" bestFit="1" customWidth="1"/>
    <col min="10" max="10" width="4.21875" customWidth="1"/>
    <col min="11" max="11" width="0.6640625" customWidth="1"/>
  </cols>
  <sheetData>
    <row r="2" spans="2:14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14" x14ac:dyDescent="0.3">
      <c r="B3" s="2">
        <v>1.5</v>
      </c>
      <c r="C3" s="4">
        <v>54</v>
      </c>
      <c r="D3" s="5">
        <f>B3^2</f>
        <v>2.25</v>
      </c>
      <c r="E3" s="3">
        <f>B3*C3</f>
        <v>81</v>
      </c>
    </row>
    <row r="4" spans="2:14" x14ac:dyDescent="0.3">
      <c r="B4" s="2">
        <v>2</v>
      </c>
      <c r="C4" s="4">
        <v>57</v>
      </c>
      <c r="D4" s="5">
        <f t="shared" ref="D4:D22" si="0">B4^2</f>
        <v>4</v>
      </c>
      <c r="E4" s="3">
        <f t="shared" ref="E4:E22" si="1">B4*C4</f>
        <v>114</v>
      </c>
    </row>
    <row r="5" spans="2:14" x14ac:dyDescent="0.3">
      <c r="B5" s="2">
        <v>2.5</v>
      </c>
      <c r="C5" s="4">
        <v>59</v>
      </c>
      <c r="D5" s="5">
        <f t="shared" si="0"/>
        <v>6.25</v>
      </c>
      <c r="E5" s="3">
        <f t="shared" si="1"/>
        <v>147.5</v>
      </c>
    </row>
    <row r="6" spans="2:14" x14ac:dyDescent="0.3">
      <c r="B6" s="2">
        <v>3</v>
      </c>
      <c r="C6" s="4">
        <v>63</v>
      </c>
      <c r="D6" s="5">
        <f t="shared" si="0"/>
        <v>9</v>
      </c>
      <c r="E6" s="3">
        <f t="shared" si="1"/>
        <v>189</v>
      </c>
    </row>
    <row r="7" spans="2:14" x14ac:dyDescent="0.3">
      <c r="B7" s="2">
        <v>3.5</v>
      </c>
      <c r="C7" s="4">
        <v>64</v>
      </c>
      <c r="D7" s="5">
        <f t="shared" si="0"/>
        <v>12.25</v>
      </c>
      <c r="E7" s="3">
        <f t="shared" si="1"/>
        <v>224</v>
      </c>
    </row>
    <row r="8" spans="2:14" x14ac:dyDescent="0.3">
      <c r="B8" s="2">
        <v>4</v>
      </c>
      <c r="C8" s="4">
        <v>68</v>
      </c>
      <c r="D8" s="5">
        <f t="shared" si="0"/>
        <v>16</v>
      </c>
      <c r="E8" s="3">
        <f t="shared" si="1"/>
        <v>272</v>
      </c>
    </row>
    <row r="9" spans="2:14" x14ac:dyDescent="0.3">
      <c r="B9" s="2">
        <v>4.2</v>
      </c>
      <c r="C9" s="4">
        <v>69</v>
      </c>
      <c r="D9" s="5">
        <f t="shared" si="0"/>
        <v>17.64</v>
      </c>
      <c r="E9" s="3">
        <f t="shared" si="1"/>
        <v>289.8</v>
      </c>
    </row>
    <row r="10" spans="2:14" x14ac:dyDescent="0.3">
      <c r="B10" s="2">
        <v>4.8</v>
      </c>
      <c r="C10" s="4">
        <v>72</v>
      </c>
      <c r="D10" s="5">
        <f t="shared" si="0"/>
        <v>23.04</v>
      </c>
      <c r="E10" s="3">
        <f t="shared" si="1"/>
        <v>345.59999999999997</v>
      </c>
      <c r="G10" s="7"/>
      <c r="H10" s="8" t="str">
        <f>"20("&amp;E23&amp;") - "&amp;B23&amp;"("&amp;C23&amp;")"</f>
        <v>20(9039.8) - 111.1(1525)</v>
      </c>
      <c r="I10" s="8"/>
      <c r="J10" s="8"/>
      <c r="M10" s="8" t="str">
        <f>C23 &amp;" - ("&amp;ROUND(H19,4)&amp;" x "&amp;B23&amp;")"</f>
        <v>1525 - (5.4505 x 111.1)</v>
      </c>
      <c r="N10" s="8"/>
    </row>
    <row r="11" spans="2:14" x14ac:dyDescent="0.3">
      <c r="B11" s="2">
        <v>5</v>
      </c>
      <c r="C11" s="4">
        <v>74</v>
      </c>
      <c r="D11" s="5">
        <f t="shared" si="0"/>
        <v>25</v>
      </c>
      <c r="E11" s="3">
        <f t="shared" si="1"/>
        <v>370</v>
      </c>
      <c r="H11" t="str">
        <f>"20("&amp;D23&amp;") - "&amp;B23&amp;"²"</f>
        <v>20(721.45) - 111.1²</v>
      </c>
      <c r="M11">
        <v>20</v>
      </c>
    </row>
    <row r="12" spans="2:14" x14ac:dyDescent="0.3">
      <c r="B12" s="2">
        <v>5.5</v>
      </c>
      <c r="C12" s="4">
        <v>76</v>
      </c>
      <c r="D12" s="5">
        <f t="shared" si="0"/>
        <v>30.25</v>
      </c>
      <c r="E12" s="3">
        <f t="shared" si="1"/>
        <v>418</v>
      </c>
    </row>
    <row r="13" spans="2:14" x14ac:dyDescent="0.3">
      <c r="B13" s="2">
        <v>5.9</v>
      </c>
      <c r="C13" s="4">
        <v>78</v>
      </c>
      <c r="D13" s="5">
        <f t="shared" si="0"/>
        <v>34.81</v>
      </c>
      <c r="E13" s="3">
        <f t="shared" si="1"/>
        <v>460.20000000000005</v>
      </c>
      <c r="H13" s="8" t="str">
        <f>(20*E23) &amp;" - " &amp;(B23*C23)</f>
        <v>180796 - 169427.5</v>
      </c>
      <c r="I13" s="8"/>
      <c r="J13" s="9"/>
      <c r="M13" s="8" t="str">
        <f>C23&amp;" - ("&amp;ROUND(H19*B23,4)&amp;")"</f>
        <v>1525 - (605.5453)</v>
      </c>
      <c r="N13" s="8"/>
    </row>
    <row r="14" spans="2:14" x14ac:dyDescent="0.3">
      <c r="B14" s="2">
        <v>6.2</v>
      </c>
      <c r="C14" s="4">
        <v>80</v>
      </c>
      <c r="D14" s="5">
        <f t="shared" si="0"/>
        <v>38.440000000000005</v>
      </c>
      <c r="E14" s="3">
        <f t="shared" si="1"/>
        <v>496</v>
      </c>
      <c r="H14" t="str">
        <f>(20*D23) &amp;" - "&amp;B23^2</f>
        <v>14429 - 12343.21</v>
      </c>
      <c r="M14">
        <v>20</v>
      </c>
    </row>
    <row r="15" spans="2:14" x14ac:dyDescent="0.3">
      <c r="B15" s="2">
        <v>6.5</v>
      </c>
      <c r="C15" s="4">
        <v>82</v>
      </c>
      <c r="D15" s="5">
        <f t="shared" si="0"/>
        <v>42.25</v>
      </c>
      <c r="E15" s="3">
        <f t="shared" si="1"/>
        <v>533</v>
      </c>
    </row>
    <row r="16" spans="2:14" x14ac:dyDescent="0.3">
      <c r="B16" s="2">
        <v>6.9</v>
      </c>
      <c r="C16" s="4">
        <v>83</v>
      </c>
      <c r="D16" s="5">
        <f t="shared" si="0"/>
        <v>47.610000000000007</v>
      </c>
      <c r="E16" s="3">
        <f t="shared" si="1"/>
        <v>572.70000000000005</v>
      </c>
      <c r="H16" s="8">
        <f>(20*E23)  - (B23*C23)</f>
        <v>11368.5</v>
      </c>
      <c r="M16" s="8">
        <f>ROUND(C23-(H19*B23),4)</f>
        <v>919.4547</v>
      </c>
    </row>
    <row r="17" spans="1:13" x14ac:dyDescent="0.3">
      <c r="B17" s="2">
        <v>7.2</v>
      </c>
      <c r="C17" s="4">
        <v>86</v>
      </c>
      <c r="D17" s="5">
        <f t="shared" si="0"/>
        <v>51.84</v>
      </c>
      <c r="E17" s="3">
        <f t="shared" si="1"/>
        <v>619.20000000000005</v>
      </c>
      <c r="H17" s="10">
        <f>(20*D23)- (B23^2)</f>
        <v>2085.7899999999991</v>
      </c>
      <c r="M17" s="11">
        <v>20</v>
      </c>
    </row>
    <row r="18" spans="1:13" x14ac:dyDescent="0.3">
      <c r="B18" s="2">
        <v>7.8</v>
      </c>
      <c r="C18" s="4">
        <v>88</v>
      </c>
      <c r="D18" s="5">
        <f t="shared" si="0"/>
        <v>60.839999999999996</v>
      </c>
      <c r="E18" s="3">
        <f t="shared" si="1"/>
        <v>686.4</v>
      </c>
    </row>
    <row r="19" spans="1:13" x14ac:dyDescent="0.3">
      <c r="B19" s="2">
        <v>8.1</v>
      </c>
      <c r="C19" s="4">
        <v>90</v>
      </c>
      <c r="D19" s="5">
        <f t="shared" si="0"/>
        <v>65.61</v>
      </c>
      <c r="E19" s="3">
        <f t="shared" si="1"/>
        <v>729</v>
      </c>
      <c r="H19">
        <f>H16/H17</f>
        <v>5.4504528260275507</v>
      </c>
      <c r="M19">
        <f>(C23-(H19*B23))/20</f>
        <v>45.972734551416963</v>
      </c>
    </row>
    <row r="20" spans="1:13" x14ac:dyDescent="0.3">
      <c r="B20" s="2">
        <v>8.4</v>
      </c>
      <c r="C20" s="4">
        <v>92</v>
      </c>
      <c r="D20" s="5">
        <f t="shared" si="0"/>
        <v>70.56</v>
      </c>
      <c r="E20" s="3">
        <f t="shared" si="1"/>
        <v>772.80000000000007</v>
      </c>
    </row>
    <row r="21" spans="1:13" x14ac:dyDescent="0.3">
      <c r="B21" s="2">
        <v>9</v>
      </c>
      <c r="C21" s="4">
        <v>94</v>
      </c>
      <c r="D21" s="5">
        <f t="shared" si="0"/>
        <v>81</v>
      </c>
      <c r="E21" s="3">
        <f t="shared" si="1"/>
        <v>846</v>
      </c>
    </row>
    <row r="22" spans="1:13" x14ac:dyDescent="0.3">
      <c r="B22" s="2">
        <v>9.1</v>
      </c>
      <c r="C22" s="4">
        <v>96</v>
      </c>
      <c r="D22" s="5">
        <f t="shared" si="0"/>
        <v>82.809999999999988</v>
      </c>
      <c r="E22" s="3">
        <f t="shared" si="1"/>
        <v>873.59999999999991</v>
      </c>
    </row>
    <row r="23" spans="1:13" x14ac:dyDescent="0.3">
      <c r="A23" s="6" t="s">
        <v>4</v>
      </c>
      <c r="B23" s="12">
        <f>SUM(B3:B22)</f>
        <v>111.1</v>
      </c>
      <c r="C23" s="12">
        <f t="shared" ref="C23:E23" si="2">SUM(C3:C22)</f>
        <v>1525</v>
      </c>
      <c r="D23" s="12">
        <f t="shared" si="2"/>
        <v>721.44999999999993</v>
      </c>
      <c r="E23" s="12">
        <f t="shared" si="2"/>
        <v>9039.7999999999993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2026-01-31T13:40:50Z</dcterms:created>
  <dcterms:modified xsi:type="dcterms:W3CDTF">2026-01-31T14:17:54Z</dcterms:modified>
</cp:coreProperties>
</file>