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Tugas 3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2" i="1" l="1"/>
  <c r="C22" i="1"/>
  <c r="C25" i="1"/>
  <c r="C24" i="1"/>
  <c r="C23" i="1"/>
  <c r="A16" i="1"/>
  <c r="E16" i="1"/>
  <c r="D16" i="1"/>
  <c r="F16" i="1"/>
  <c r="G16" i="1"/>
  <c r="H16" i="1"/>
  <c r="I16" i="1"/>
  <c r="J17" i="1"/>
  <c r="E17" i="1"/>
  <c r="F17" i="1"/>
  <c r="G17" i="1"/>
  <c r="H17" i="1"/>
  <c r="I17" i="1"/>
  <c r="D17" i="1"/>
  <c r="C17" i="1"/>
  <c r="P3" i="1" l="1"/>
  <c r="P6" i="1"/>
  <c r="Q6" i="1"/>
  <c r="R6" i="1"/>
  <c r="S6" i="1"/>
  <c r="T6" i="1"/>
  <c r="U6" i="1"/>
  <c r="P7" i="1"/>
  <c r="Q7" i="1"/>
  <c r="R7" i="1"/>
  <c r="S7" i="1"/>
  <c r="T7" i="1"/>
  <c r="U7" i="1"/>
  <c r="P8" i="1"/>
  <c r="Q8" i="1"/>
  <c r="R8" i="1"/>
  <c r="S8" i="1"/>
  <c r="T8" i="1"/>
  <c r="U8" i="1"/>
  <c r="P9" i="1"/>
  <c r="Q9" i="1"/>
  <c r="R9" i="1"/>
  <c r="S9" i="1"/>
  <c r="T9" i="1"/>
  <c r="U9" i="1"/>
  <c r="O9" i="1"/>
  <c r="O8" i="1"/>
  <c r="O7" i="1"/>
  <c r="O6" i="1"/>
  <c r="O5" i="1"/>
  <c r="P4" i="1"/>
  <c r="Q4" i="1"/>
  <c r="R4" i="1"/>
  <c r="S4" i="1"/>
  <c r="T4" i="1"/>
  <c r="U4" i="1"/>
  <c r="O4" i="1"/>
  <c r="Q3" i="1"/>
  <c r="R3" i="1"/>
  <c r="S3" i="1"/>
  <c r="T3" i="1"/>
  <c r="U3" i="1"/>
  <c r="O3" i="1"/>
  <c r="T5" i="1"/>
  <c r="S5" i="1"/>
  <c r="R5" i="1"/>
  <c r="Q5" i="1"/>
  <c r="P5" i="1"/>
  <c r="C14" i="1"/>
  <c r="C15" i="1" s="1"/>
  <c r="D14" i="1"/>
  <c r="D15" i="1" s="1"/>
  <c r="E14" i="1"/>
  <c r="E15" i="1" s="1"/>
  <c r="F14" i="1"/>
  <c r="F15" i="1" s="1"/>
  <c r="G14" i="1"/>
  <c r="G15" i="1" s="1"/>
  <c r="H14" i="1"/>
  <c r="H15" i="1" s="1"/>
  <c r="I14" i="1"/>
  <c r="I15" i="1" s="1"/>
  <c r="J4" i="1"/>
  <c r="J5" i="1"/>
  <c r="J6" i="1"/>
  <c r="J7" i="1"/>
  <c r="J8" i="1"/>
  <c r="J9" i="1"/>
  <c r="J10" i="1"/>
  <c r="J11" i="1"/>
  <c r="J12" i="1"/>
  <c r="J13" i="1"/>
  <c r="C16" i="1" l="1"/>
  <c r="L11" i="1"/>
  <c r="L6" i="1"/>
  <c r="L8" i="1"/>
  <c r="L4" i="1"/>
  <c r="L12" i="1"/>
  <c r="L9" i="1"/>
  <c r="L5" i="1"/>
  <c r="L13" i="1"/>
  <c r="L7" i="1"/>
  <c r="L10" i="1"/>
  <c r="J14" i="1"/>
  <c r="J15" i="1" s="1"/>
  <c r="J16" i="1" s="1"/>
  <c r="U5" i="1"/>
  <c r="L14" i="1" l="1"/>
  <c r="L16" i="1" s="1"/>
</calcChain>
</file>

<file path=xl/comments1.xml><?xml version="1.0" encoding="utf-8"?>
<comments xmlns="http://schemas.openxmlformats.org/spreadsheetml/2006/main">
  <authors>
    <author>Author</author>
  </authors>
  <commentList>
    <comment ref="C1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Perhitungan Manual
</t>
        </r>
      </text>
    </comment>
    <comment ref="J1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Total Varian</t>
        </r>
      </text>
    </comment>
    <comment ref="C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Perhitungan Manual</t>
        </r>
      </text>
    </comment>
  </commentList>
</comments>
</file>

<file path=xl/sharedStrings.xml><?xml version="1.0" encoding="utf-8"?>
<sst xmlns="http://schemas.openxmlformats.org/spreadsheetml/2006/main" count="39" uniqueCount="36">
  <si>
    <t>Responden</t>
  </si>
  <si>
    <t>Pertanyaan</t>
  </si>
  <si>
    <t>Total</t>
  </si>
  <si>
    <t>∑</t>
  </si>
  <si>
    <t>A</t>
  </si>
  <si>
    <t>B</t>
  </si>
  <si>
    <t>C</t>
  </si>
  <si>
    <t>D</t>
  </si>
  <si>
    <t>E</t>
  </si>
  <si>
    <t>F</t>
  </si>
  <si>
    <t>G</t>
  </si>
  <si>
    <t>H</t>
  </si>
  <si>
    <t>J</t>
  </si>
  <si>
    <t>K</t>
  </si>
  <si>
    <t>Kolerasi Pertanyaan</t>
  </si>
  <si>
    <t>Q1</t>
  </si>
  <si>
    <t>Q2</t>
  </si>
  <si>
    <t>Q3</t>
  </si>
  <si>
    <t>Q4</t>
  </si>
  <si>
    <t>Q5</t>
  </si>
  <si>
    <t>Q6</t>
  </si>
  <si>
    <t>Q7</t>
  </si>
  <si>
    <t>Varian</t>
  </si>
  <si>
    <t>Rata - rata</t>
  </si>
  <si>
    <t>Perhitungan Varian Q1</t>
  </si>
  <si>
    <t>n-1 = 9</t>
  </si>
  <si>
    <t>(C4-$C$15)^2</t>
  </si>
  <si>
    <t>std.dev</t>
  </si>
  <si>
    <t>=</t>
  </si>
  <si>
    <t>r-tabel</t>
  </si>
  <si>
    <t>∑ Varian</t>
  </si>
  <si>
    <r>
      <t>1. instrumen dikatakan reliabel jika nilai r</t>
    </r>
    <r>
      <rPr>
        <i/>
        <sz val="8"/>
        <color theme="2" tint="-0.749992370372631"/>
        <rFont val="Calibri"/>
        <family val="2"/>
        <scheme val="minor"/>
      </rPr>
      <t xml:space="preserve">ac </t>
    </r>
    <r>
      <rPr>
        <i/>
        <sz val="11"/>
        <color theme="2" tint="-0.749992370372631"/>
        <rFont val="Calibri"/>
        <family val="2"/>
        <scheme val="minor"/>
      </rPr>
      <t>&gt; 0.5</t>
    </r>
  </si>
  <si>
    <r>
      <t>2. intrumen dikatakan memiliki tingkat reliabilitas tinggi jika nilai r</t>
    </r>
    <r>
      <rPr>
        <i/>
        <sz val="8"/>
        <color theme="2" tint="-0.749992370372631"/>
        <rFont val="Calibri"/>
        <family val="2"/>
        <scheme val="minor"/>
      </rPr>
      <t>ac</t>
    </r>
    <r>
      <rPr>
        <i/>
        <sz val="11"/>
        <color theme="2" tint="-0.749992370372631"/>
        <rFont val="Calibri"/>
        <family val="2"/>
        <scheme val="minor"/>
      </rPr>
      <t xml:space="preserve"> &gt; 0.6</t>
    </r>
  </si>
  <si>
    <r>
      <t xml:space="preserve">3. baik buruknya intrumen dapat dikonsultasikan dengan nilai </t>
    </r>
    <r>
      <rPr>
        <i/>
        <u/>
        <sz val="11"/>
        <color theme="2" tint="-0.749992370372631"/>
        <rFont val="Calibri"/>
        <family val="2"/>
        <scheme val="minor"/>
      </rPr>
      <t>r-tabel</t>
    </r>
  </si>
  <si>
    <r>
      <t>berdasarkan kesimpulan tersebut r</t>
    </r>
    <r>
      <rPr>
        <i/>
        <sz val="8"/>
        <color theme="2" tint="-0.749992370372631"/>
        <rFont val="Calibri"/>
        <family val="2"/>
        <scheme val="minor"/>
      </rPr>
      <t>ac</t>
    </r>
    <r>
      <rPr>
        <i/>
        <sz val="11"/>
        <color theme="2" tint="-0.749992370372631"/>
        <rFont val="Calibri"/>
        <family val="2"/>
        <scheme val="minor"/>
      </rPr>
      <t xml:space="preserve"> = 1.0003 &gt; 0.6 sehingga tingkat reliabilitasnya </t>
    </r>
    <r>
      <rPr>
        <b/>
        <i/>
        <sz val="11"/>
        <color theme="2" tint="-0.749992370372631"/>
        <rFont val="Calibri"/>
        <family val="2"/>
        <scheme val="minor"/>
      </rPr>
      <t>terkategori tinggi</t>
    </r>
  </si>
  <si>
    <r>
      <t>r</t>
    </r>
    <r>
      <rPr>
        <i/>
        <sz val="8"/>
        <color theme="2" tint="-0.749992370372631"/>
        <rFont val="Calibri"/>
        <family val="2"/>
        <scheme val="minor"/>
      </rPr>
      <t>ac</t>
    </r>
    <r>
      <rPr>
        <i/>
        <sz val="11"/>
        <color theme="2" tint="-0.749992370372631"/>
        <rFont val="Calibri"/>
        <family val="2"/>
        <scheme val="minor"/>
      </rPr>
      <t xml:space="preserve"> = 1.0003 &gt; 0.6319 sehingga tingkat rliabilitas intrumen </t>
    </r>
    <r>
      <rPr>
        <b/>
        <i/>
        <sz val="11"/>
        <color theme="2" tint="-0.749992370372631"/>
        <rFont val="Calibri"/>
        <family val="2"/>
        <scheme val="minor"/>
      </rPr>
      <t>baik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</si>
</sst>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FF0000"/>
      <name val="Calibri"/>
      <family val="2"/>
      <scheme val="minor"/>
    </font>
    <font>
      <i/>
      <sz val="11"/>
      <color theme="2" tint="-0.749992370372631"/>
      <name val="Calibri"/>
      <family val="2"/>
      <scheme val="minor"/>
    </font>
    <font>
      <i/>
      <sz val="8"/>
      <color theme="2" tint="-0.74999237037263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2" tint="-0.749992370372631"/>
      <name val="Calibri"/>
      <family val="2"/>
      <scheme val="minor"/>
    </font>
    <font>
      <i/>
      <u/>
      <sz val="11"/>
      <color theme="2" tint="-0.749992370372631"/>
      <name val="Calibri"/>
      <family val="2"/>
      <scheme val="minor"/>
    </font>
    <font>
      <b/>
      <i/>
      <sz val="11"/>
      <color theme="2" tint="-0.74999237037263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0" fillId="0" borderId="0" xfId="0" quotePrefix="1" applyAlignment="1">
      <alignment horizontal="right"/>
    </xf>
    <xf numFmtId="0" fontId="1" fillId="0" borderId="0" xfId="0" applyFont="1" applyAlignment="1">
      <alignment horizontal="left"/>
    </xf>
    <xf numFmtId="0" fontId="7" fillId="0" borderId="0" xfId="0" applyFont="1"/>
    <xf numFmtId="0" fontId="9" fillId="0" borderId="0" xfId="0" quotePrefix="1" applyFont="1" applyAlignment="1">
      <alignment horizontal="right"/>
    </xf>
    <xf numFmtId="0" fontId="10" fillId="0" borderId="0" xfId="0" applyFont="1" applyAlignment="1">
      <alignment horizontal="left"/>
    </xf>
    <xf numFmtId="0" fontId="1" fillId="2" borderId="2" xfId="0" applyFont="1" applyFill="1" applyBorder="1" applyAlignment="1">
      <alignment horizontal="center" vertical="center"/>
    </xf>
    <xf numFmtId="0" fontId="10" fillId="0" borderId="3" xfId="0" applyFont="1" applyBorder="1"/>
    <xf numFmtId="0" fontId="1" fillId="2" borderId="4" xfId="0" applyFont="1" applyFill="1" applyBorder="1" applyAlignment="1">
      <alignment horizontal="center"/>
    </xf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220980</xdr:colOff>
      <xdr:row>18</xdr:row>
      <xdr:rowOff>64770</xdr:rowOff>
    </xdr:from>
    <xdr:ext cx="2202180" cy="46147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/>
            <xdr:cNvSpPr txBox="1"/>
          </xdr:nvSpPr>
          <xdr:spPr>
            <a:xfrm>
              <a:off x="830580" y="3539490"/>
              <a:ext cx="2202180" cy="4614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600" b="1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600" b="1" i="1">
                          <a:latin typeface="Cambria Math" panose="02040503050406030204" pitchFamily="18" charset="0"/>
                        </a:rPr>
                        <m:t>𝒓</m:t>
                      </m:r>
                    </m:e>
                    <m:sub>
                      <m:r>
                        <a:rPr lang="en-US" sz="1600" b="1" i="1">
                          <a:latin typeface="Cambria Math" panose="02040503050406030204" pitchFamily="18" charset="0"/>
                        </a:rPr>
                        <m:t>𝒂𝒄</m:t>
                      </m:r>
                    </m:sub>
                  </m:sSub>
                </m:oMath>
              </a14:m>
              <a:r>
                <a:rPr lang="en-US" sz="1600" b="1"/>
                <a:t> = </a:t>
              </a:r>
              <a14:m>
                <m:oMath xmlns:m="http://schemas.openxmlformats.org/officeDocument/2006/math">
                  <m:d>
                    <m:dPr>
                      <m:ctrlPr>
                        <a:rPr lang="en-US" sz="1600" b="1" i="1"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en-US" sz="1600" b="1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n-US" sz="1600" b="1" i="1">
                              <a:latin typeface="Cambria Math" panose="02040503050406030204" pitchFamily="18" charset="0"/>
                            </a:rPr>
                            <m:t>𝒌</m:t>
                          </m:r>
                        </m:num>
                        <m:den>
                          <m:r>
                            <a:rPr lang="en-US" sz="1600" b="1" i="1">
                              <a:latin typeface="Cambria Math" panose="02040503050406030204" pitchFamily="18" charset="0"/>
                            </a:rPr>
                            <m:t>𝒌</m:t>
                          </m:r>
                          <m:r>
                            <a:rPr lang="en-US" sz="1600" b="1" i="1">
                              <a:latin typeface="Cambria Math" panose="02040503050406030204" pitchFamily="18" charset="0"/>
                            </a:rPr>
                            <m:t>−</m:t>
                          </m:r>
                          <m:r>
                            <a:rPr lang="en-US" sz="1600" b="1" i="1">
                              <a:latin typeface="Cambria Math" panose="02040503050406030204" pitchFamily="18" charset="0"/>
                            </a:rPr>
                            <m:t>𝟏</m:t>
                          </m:r>
                        </m:den>
                      </m:f>
                    </m:e>
                  </m:d>
                  <m:r>
                    <a:rPr lang="en-US" sz="1600" b="1" i="1">
                      <a:latin typeface="Cambria Math" panose="02040503050406030204" pitchFamily="18" charset="0"/>
                    </a:rPr>
                    <m:t> </m:t>
                  </m:r>
                  <m:d>
                    <m:dPr>
                      <m:begChr m:val="["/>
                      <m:endChr m:val="]"/>
                      <m:ctrlPr>
                        <a:rPr lang="en-US" sz="1600" b="1" i="1">
                          <a:latin typeface="Cambria Math" panose="02040503050406030204" pitchFamily="18" charset="0"/>
                        </a:rPr>
                      </m:ctrlPr>
                    </m:dPr>
                    <m:e>
                      <m:r>
                        <a:rPr lang="en-US" sz="1600" b="1" i="1">
                          <a:latin typeface="Cambria Math" panose="02040503050406030204" pitchFamily="18" charset="0"/>
                        </a:rPr>
                        <m:t>𝟏</m:t>
                      </m:r>
                      <m:r>
                        <a:rPr lang="en-US" sz="1600" b="1" i="1">
                          <a:latin typeface="Cambria Math" panose="02040503050406030204" pitchFamily="18" charset="0"/>
                        </a:rPr>
                        <m:t> − </m:t>
                      </m:r>
                      <m:f>
                        <m:fPr>
                          <m:ctrlPr>
                            <a:rPr lang="en-US" sz="1600" b="1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nary>
                            <m:naryPr>
                              <m:chr m:val="∑"/>
                              <m:subHide m:val="on"/>
                              <m:supHide m:val="on"/>
                              <m:ctrlPr>
                                <a:rPr lang="en-US" sz="1600" b="1" i="1">
                                  <a:latin typeface="Cambria Math" panose="02040503050406030204" pitchFamily="18" charset="0"/>
                                </a:rPr>
                              </m:ctrlPr>
                            </m:naryPr>
                            <m:sub/>
                            <m:sup/>
                            <m:e>
                              <m:sSub>
                                <m:sSubPr>
                                  <m:ctrlPr>
                                    <a:rPr lang="en-US" sz="1600" b="1" i="1">
                                      <a:latin typeface="Cambria Math" panose="02040503050406030204" pitchFamily="18" charset="0"/>
                                      <a:ea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en-US" sz="1600" b="1" i="1">
                                      <a:latin typeface="Cambria Math" panose="02040503050406030204" pitchFamily="18" charset="0"/>
                                      <a:ea typeface="Cambria Math" panose="02040503050406030204" pitchFamily="18" charset="0"/>
                                    </a:rPr>
                                    <m:t>𝝈</m:t>
                                  </m:r>
                                </m:e>
                                <m:sub>
                                  <m:r>
                                    <a:rPr lang="en-US" sz="1600" b="1" i="1">
                                      <a:latin typeface="Cambria Math" panose="02040503050406030204" pitchFamily="18" charset="0"/>
                                      <a:ea typeface="Cambria Math" panose="02040503050406030204" pitchFamily="18" charset="0"/>
                                    </a:rPr>
                                    <m:t>𝒃</m:t>
                                  </m:r>
                                </m:sub>
                              </m:sSub>
                            </m:e>
                          </m:nary>
                        </m:num>
                        <m:den>
                          <m:sSub>
                            <m:sSubPr>
                              <m:ctrlPr>
                                <a:rPr lang="en-US" sz="1600" b="1" i="1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</m:ctrlPr>
                            </m:sSubPr>
                            <m:e>
                              <m:r>
                                <a:rPr lang="en-US" sz="1600" b="1" i="1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  <m:t>𝝈</m:t>
                              </m:r>
                            </m:e>
                            <m:sub>
                              <m:sSup>
                                <m:sSupPr>
                                  <m:ctrlPr>
                                    <a:rPr lang="en-US" sz="1600" b="1" i="1">
                                      <a:latin typeface="Cambria Math" panose="02040503050406030204" pitchFamily="18" charset="0"/>
                                      <a:ea typeface="Cambria Math" panose="02040503050406030204" pitchFamily="18" charset="0"/>
                                    </a:rPr>
                                  </m:ctrlPr>
                                </m:sSupPr>
                                <m:e>
                                  <m:r>
                                    <a:rPr lang="en-US" sz="1600" b="1" i="1">
                                      <a:latin typeface="Cambria Math" panose="02040503050406030204" pitchFamily="18" charset="0"/>
                                      <a:ea typeface="Cambria Math" panose="02040503050406030204" pitchFamily="18" charset="0"/>
                                    </a:rPr>
                                    <m:t>𝒕</m:t>
                                  </m:r>
                                </m:e>
                                <m:sup>
                                  <m:r>
                                    <a:rPr lang="en-US" sz="1600" b="1" i="1">
                                      <a:latin typeface="Cambria Math" panose="02040503050406030204" pitchFamily="18" charset="0"/>
                                      <a:ea typeface="Cambria Math" panose="02040503050406030204" pitchFamily="18" charset="0"/>
                                    </a:rPr>
                                    <m:t>𝟐</m:t>
                                  </m:r>
                                </m:sup>
                              </m:sSup>
                            </m:sub>
                          </m:sSub>
                        </m:den>
                      </m:f>
                    </m:e>
                  </m:d>
                </m:oMath>
              </a14:m>
              <a:endParaRPr lang="en-US" sz="1600" b="1"/>
            </a:p>
          </xdr:txBody>
        </xdr:sp>
      </mc:Choice>
      <mc:Fallback>
        <xdr:sp macro="" textlink="">
          <xdr:nvSpPr>
            <xdr:cNvPr id="2" name="TextBox 1"/>
            <xdr:cNvSpPr txBox="1"/>
          </xdr:nvSpPr>
          <xdr:spPr>
            <a:xfrm>
              <a:off x="830580" y="3539490"/>
              <a:ext cx="2202180" cy="4614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600" b="1" i="0">
                  <a:latin typeface="Cambria Math" panose="02040503050406030204" pitchFamily="18" charset="0"/>
                </a:rPr>
                <a:t>𝒓_𝒂𝒄</a:t>
              </a:r>
              <a:r>
                <a:rPr lang="en-US" sz="1600" b="1"/>
                <a:t> = </a:t>
              </a:r>
              <a:r>
                <a:rPr lang="en-US" sz="1600" b="1" i="0">
                  <a:latin typeface="Cambria Math" panose="02040503050406030204" pitchFamily="18" charset="0"/>
                </a:rPr>
                <a:t>(𝒌/(𝒌−𝟏))  [𝟏 − (∑▒</a:t>
              </a:r>
              <a:r>
                <a:rPr lang="en-US" sz="16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𝝈_𝒃 )/𝝈_(𝒕^𝟐 ) ]</a:t>
              </a:r>
              <a:endParaRPr lang="en-US" sz="1600" b="1"/>
            </a:p>
          </xdr:txBody>
        </xdr:sp>
      </mc:Fallback>
    </mc:AlternateContent>
    <xdr:clientData/>
  </xdr:oneCellAnchor>
  <xdr:twoCellAnchor editAs="oneCell">
    <xdr:from>
      <xdr:col>12</xdr:col>
      <xdr:colOff>579120</xdr:colOff>
      <xdr:row>11</xdr:row>
      <xdr:rowOff>0</xdr:rowOff>
    </xdr:from>
    <xdr:to>
      <xdr:col>22</xdr:col>
      <xdr:colOff>83819</xdr:colOff>
      <xdr:row>37</xdr:row>
      <xdr:rowOff>14315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42960" y="2194560"/>
          <a:ext cx="5791199" cy="47844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U35"/>
  <sheetViews>
    <sheetView tabSelected="1" workbookViewId="0">
      <selection activeCell="V6" sqref="V6"/>
    </sheetView>
  </sheetViews>
  <sheetFormatPr defaultRowHeight="14.4" x14ac:dyDescent="0.3"/>
  <cols>
    <col min="2" max="2" width="10" bestFit="1" customWidth="1"/>
    <col min="12" max="12" width="15.77734375" customWidth="1"/>
    <col min="14" max="14" width="11.6640625" customWidth="1"/>
  </cols>
  <sheetData>
    <row r="2" spans="1:21" ht="28.8" x14ac:dyDescent="0.3">
      <c r="B2" s="2" t="s">
        <v>0</v>
      </c>
      <c r="C2" s="2" t="s">
        <v>1</v>
      </c>
      <c r="D2" s="2"/>
      <c r="E2" s="2"/>
      <c r="F2" s="2"/>
      <c r="G2" s="2"/>
      <c r="H2" s="2"/>
      <c r="I2" s="2"/>
      <c r="J2" s="2" t="s">
        <v>2</v>
      </c>
      <c r="L2" s="8" t="s">
        <v>24</v>
      </c>
      <c r="N2" s="5" t="s">
        <v>14</v>
      </c>
      <c r="O2" s="3">
        <v>1</v>
      </c>
      <c r="P2" s="3">
        <v>2</v>
      </c>
      <c r="Q2" s="3">
        <v>3</v>
      </c>
      <c r="R2" s="3">
        <v>4</v>
      </c>
      <c r="S2" s="3">
        <v>5</v>
      </c>
      <c r="T2" s="3">
        <v>6</v>
      </c>
      <c r="U2" s="3">
        <v>7</v>
      </c>
    </row>
    <row r="3" spans="1:21" x14ac:dyDescent="0.3">
      <c r="B3" s="2"/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  <c r="H3" s="3" t="s">
        <v>20</v>
      </c>
      <c r="I3" s="3" t="s">
        <v>21</v>
      </c>
      <c r="J3" s="2"/>
      <c r="L3" s="9" t="s">
        <v>26</v>
      </c>
      <c r="N3" s="3">
        <v>1</v>
      </c>
      <c r="O3" s="1">
        <f>CORREL($C$4:$C$13,C4:C13)</f>
        <v>1</v>
      </c>
      <c r="P3" s="1">
        <f>CORREL($C$4:$C$13,D4:D13)</f>
        <v>0.82992534199233525</v>
      </c>
      <c r="Q3" s="1">
        <f>CORREL($C$4:$C$13,E4:E13)</f>
        <v>0.61615956168760133</v>
      </c>
      <c r="R3" s="1">
        <f>CORREL($C$4:$C$13,F4:F13)</f>
        <v>0.7773984216130736</v>
      </c>
      <c r="S3" s="1">
        <f>CORREL($C$4:$C$13,G4:G13)</f>
        <v>0.8098946807112406</v>
      </c>
      <c r="T3" s="1">
        <f>CORREL($C$4:$C$13,H4:H13)</f>
        <v>0.81138985845446088</v>
      </c>
      <c r="U3" s="1">
        <f>CORREL($C$4:$C$13,I4:I13)</f>
        <v>0.57669678820014403</v>
      </c>
    </row>
    <row r="4" spans="1:21" x14ac:dyDescent="0.3">
      <c r="B4" s="3" t="s">
        <v>4</v>
      </c>
      <c r="C4" s="4">
        <v>5</v>
      </c>
      <c r="D4" s="4">
        <v>5</v>
      </c>
      <c r="E4" s="4">
        <v>4</v>
      </c>
      <c r="F4" s="4">
        <v>5</v>
      </c>
      <c r="G4" s="4">
        <v>4</v>
      </c>
      <c r="H4" s="4">
        <v>5</v>
      </c>
      <c r="I4" s="4">
        <v>3</v>
      </c>
      <c r="J4" s="3">
        <f>SUM(C4:I4)</f>
        <v>31</v>
      </c>
      <c r="L4" s="4">
        <f>(C4-$C$15)^2</f>
        <v>1.6899999999999995</v>
      </c>
      <c r="N4" s="3">
        <v>2</v>
      </c>
      <c r="O4" s="1">
        <f>CORREL($D$4:$D$13,C4:C13)</f>
        <v>0.82992534199233525</v>
      </c>
      <c r="P4" s="1">
        <f t="shared" ref="P4:U4" si="0">CORREL($D$4:$D$13,D4:D13)</f>
        <v>1</v>
      </c>
      <c r="Q4" s="1">
        <f t="shared" si="0"/>
        <v>0.81343943450716094</v>
      </c>
      <c r="R4" s="1">
        <f t="shared" si="0"/>
        <v>0.81707317073170749</v>
      </c>
      <c r="S4" s="1">
        <f t="shared" si="0"/>
        <v>0.60605493473523364</v>
      </c>
      <c r="T4" s="1">
        <f t="shared" si="0"/>
        <v>0.59126431985615291</v>
      </c>
      <c r="U4" s="1">
        <f t="shared" si="0"/>
        <v>0.49412195262408698</v>
      </c>
    </row>
    <row r="5" spans="1:21" x14ac:dyDescent="0.3">
      <c r="B5" s="3" t="s">
        <v>5</v>
      </c>
      <c r="C5" s="4">
        <v>5</v>
      </c>
      <c r="D5" s="4">
        <v>3</v>
      </c>
      <c r="E5" s="4">
        <v>3</v>
      </c>
      <c r="F5" s="4">
        <v>3</v>
      </c>
      <c r="G5" s="4">
        <v>4</v>
      </c>
      <c r="H5" s="4">
        <v>5</v>
      </c>
      <c r="I5" s="4">
        <v>4</v>
      </c>
      <c r="J5" s="3">
        <f t="shared" ref="J5:J13" si="1">SUM(C5:I5)</f>
        <v>27</v>
      </c>
      <c r="L5" s="4">
        <f>(C5-$C$15)^2</f>
        <v>1.6899999999999995</v>
      </c>
      <c r="N5" s="3">
        <v>3</v>
      </c>
      <c r="O5" s="1">
        <f>CORREL($E$4:$E$13,C4:C13)</f>
        <v>0.61615956168760133</v>
      </c>
      <c r="P5" s="1">
        <f>CORREL($D$2:$D$11,E3:E12)</f>
        <v>0.41678402103222895</v>
      </c>
      <c r="Q5" s="1">
        <f>CORREL($D$2:$D$11,F3:F12)</f>
        <v>9.8956561665959897E-2</v>
      </c>
      <c r="R5" s="1">
        <f>CORREL($D$2:$D$11,G3:G12)</f>
        <v>-4.7457899787624949E-2</v>
      </c>
      <c r="S5" s="1">
        <f>CORREL($D$2:$D$11,H3:H12)</f>
        <v>0.37603493433064761</v>
      </c>
      <c r="T5" s="1">
        <f>CORREL($D$2:$D$11,I3:I12)</f>
        <v>0.1898315991504998</v>
      </c>
      <c r="U5" s="1">
        <f>CORREL($D$2:$D$11,J3:J12)</f>
        <v>0.22346546633137074</v>
      </c>
    </row>
    <row r="6" spans="1:21" x14ac:dyDescent="0.3">
      <c r="B6" s="3" t="s">
        <v>6</v>
      </c>
      <c r="C6" s="4">
        <v>1</v>
      </c>
      <c r="D6" s="4">
        <v>2</v>
      </c>
      <c r="E6" s="4">
        <v>3</v>
      </c>
      <c r="F6" s="4">
        <v>2</v>
      </c>
      <c r="G6" s="4">
        <v>2</v>
      </c>
      <c r="H6" s="4">
        <v>2</v>
      </c>
      <c r="I6" s="4">
        <v>3</v>
      </c>
      <c r="J6" s="3">
        <f t="shared" si="1"/>
        <v>15</v>
      </c>
      <c r="L6" s="4">
        <f>(C6-$C$15)^2</f>
        <v>7.2900000000000009</v>
      </c>
      <c r="N6" s="3">
        <v>4</v>
      </c>
      <c r="O6" s="1">
        <f>CORREL($F$4:$F$13,C4:C13)</f>
        <v>0.7773984216130736</v>
      </c>
      <c r="P6" s="1">
        <f t="shared" ref="P6:U6" si="2">CORREL($F$4:$F$13,D4:D13)</f>
        <v>0.81707317073170749</v>
      </c>
      <c r="Q6" s="1">
        <f t="shared" si="2"/>
        <v>0.81343943450716083</v>
      </c>
      <c r="R6" s="1">
        <f t="shared" si="2"/>
        <v>0.99999999999999989</v>
      </c>
      <c r="S6" s="1">
        <f t="shared" si="2"/>
        <v>0.83915298655647741</v>
      </c>
      <c r="T6" s="1">
        <f t="shared" si="2"/>
        <v>0.797519315154811</v>
      </c>
      <c r="U6" s="1">
        <f t="shared" si="2"/>
        <v>0.49412195262408715</v>
      </c>
    </row>
    <row r="7" spans="1:21" x14ac:dyDescent="0.3">
      <c r="B7" s="3" t="s">
        <v>7</v>
      </c>
      <c r="C7" s="4">
        <v>5</v>
      </c>
      <c r="D7" s="4">
        <v>4</v>
      </c>
      <c r="E7" s="4">
        <v>3</v>
      </c>
      <c r="F7" s="4">
        <v>4</v>
      </c>
      <c r="G7" s="4">
        <v>5</v>
      </c>
      <c r="H7" s="4">
        <v>4</v>
      </c>
      <c r="I7" s="4">
        <v>5</v>
      </c>
      <c r="J7" s="3">
        <f t="shared" si="1"/>
        <v>30</v>
      </c>
      <c r="L7" s="4">
        <f>(C7-$C$15)^2</f>
        <v>1.6899999999999995</v>
      </c>
      <c r="N7" s="3">
        <v>5</v>
      </c>
      <c r="O7" s="1">
        <f>CORREL($G$4:$G$13,C4:C13)</f>
        <v>0.8098946807112406</v>
      </c>
      <c r="P7" s="1">
        <f t="shared" ref="P7:U7" si="3">CORREL($G$4:$G$13,D4:D13)</f>
        <v>0.60605493473523364</v>
      </c>
      <c r="Q7" s="1">
        <f t="shared" si="3"/>
        <v>0.55401326073416945</v>
      </c>
      <c r="R7" s="1">
        <f t="shared" si="3"/>
        <v>0.83915298655647741</v>
      </c>
      <c r="S7" s="1">
        <f t="shared" si="3"/>
        <v>1.0000000000000002</v>
      </c>
      <c r="T7" s="1">
        <f t="shared" si="3"/>
        <v>0.76219081447483594</v>
      </c>
      <c r="U7" s="1">
        <f t="shared" si="3"/>
        <v>0.54840001299911134</v>
      </c>
    </row>
    <row r="8" spans="1:21" x14ac:dyDescent="0.3">
      <c r="B8" s="3" t="s">
        <v>8</v>
      </c>
      <c r="C8" s="4">
        <v>3</v>
      </c>
      <c r="D8" s="4">
        <v>3</v>
      </c>
      <c r="E8" s="4">
        <v>3</v>
      </c>
      <c r="F8" s="4">
        <v>4</v>
      </c>
      <c r="G8" s="4">
        <v>4</v>
      </c>
      <c r="H8" s="4">
        <v>5</v>
      </c>
      <c r="I8" s="4">
        <v>5</v>
      </c>
      <c r="J8" s="3">
        <f t="shared" si="1"/>
        <v>27</v>
      </c>
      <c r="L8" s="4">
        <f>(C8-$C$15)^2</f>
        <v>0.49000000000000027</v>
      </c>
      <c r="N8" s="3">
        <v>6</v>
      </c>
      <c r="O8" s="1">
        <f>CORREL($H$4:$H$13,C4:C13)</f>
        <v>0.81138985845446088</v>
      </c>
      <c r="P8" s="1">
        <f t="shared" ref="P8:U8" si="4">CORREL($H$4:$H$13,D4:D13)</f>
        <v>0.59126431985615291</v>
      </c>
      <c r="Q8" s="1">
        <f t="shared" si="4"/>
        <v>0.50602768304115642</v>
      </c>
      <c r="R8" s="1">
        <f t="shared" si="4"/>
        <v>0.797519315154811</v>
      </c>
      <c r="S8" s="1">
        <f t="shared" si="4"/>
        <v>0.76219081447483594</v>
      </c>
      <c r="T8" s="1">
        <f t="shared" si="4"/>
        <v>1.0000000000000002</v>
      </c>
      <c r="U8" s="1">
        <f t="shared" si="4"/>
        <v>0.61105238148615104</v>
      </c>
    </row>
    <row r="9" spans="1:21" x14ac:dyDescent="0.3">
      <c r="B9" s="3" t="s">
        <v>9</v>
      </c>
      <c r="C9" s="4">
        <v>1</v>
      </c>
      <c r="D9" s="4">
        <v>1</v>
      </c>
      <c r="E9" s="4">
        <v>1</v>
      </c>
      <c r="F9" s="4">
        <v>1</v>
      </c>
      <c r="G9" s="4">
        <v>2</v>
      </c>
      <c r="H9" s="4">
        <v>2</v>
      </c>
      <c r="I9" s="4">
        <v>2</v>
      </c>
      <c r="J9" s="3">
        <f t="shared" si="1"/>
        <v>10</v>
      </c>
      <c r="L9" s="4">
        <f>(C9-$C$15)^2</f>
        <v>7.2900000000000009</v>
      </c>
      <c r="N9" s="3">
        <v>7</v>
      </c>
      <c r="O9" s="1">
        <f>CORREL($I$4:$I$13,C4:C13)</f>
        <v>0.57669678820014403</v>
      </c>
      <c r="P9" s="1">
        <f t="shared" ref="P9:U9" si="5">CORREL($I$4:$I$13,D4:D13)</f>
        <v>0.49412195262408698</v>
      </c>
      <c r="Q9" s="1">
        <f t="shared" si="5"/>
        <v>0.34828689817571401</v>
      </c>
      <c r="R9" s="1">
        <f t="shared" si="5"/>
        <v>0.49412195262408715</v>
      </c>
      <c r="S9" s="1">
        <f t="shared" si="5"/>
        <v>0.54840001299911134</v>
      </c>
      <c r="T9" s="1">
        <f t="shared" si="5"/>
        <v>0.61105238148615104</v>
      </c>
      <c r="U9" s="1">
        <f t="shared" si="5"/>
        <v>1</v>
      </c>
    </row>
    <row r="10" spans="1:21" x14ac:dyDescent="0.3">
      <c r="B10" s="3" t="s">
        <v>10</v>
      </c>
      <c r="C10" s="4">
        <v>4</v>
      </c>
      <c r="D10" s="4">
        <v>4</v>
      </c>
      <c r="E10" s="4">
        <v>3</v>
      </c>
      <c r="F10" s="4">
        <v>4</v>
      </c>
      <c r="G10" s="4">
        <v>4</v>
      </c>
      <c r="H10" s="4">
        <v>4</v>
      </c>
      <c r="I10" s="4">
        <v>4</v>
      </c>
      <c r="J10" s="3">
        <f t="shared" si="1"/>
        <v>27</v>
      </c>
      <c r="L10" s="4">
        <f>(C10-$C$15)^2</f>
        <v>8.99999999999999E-2</v>
      </c>
    </row>
    <row r="11" spans="1:21" x14ac:dyDescent="0.3">
      <c r="B11" s="3" t="s">
        <v>11</v>
      </c>
      <c r="C11" s="4">
        <v>4</v>
      </c>
      <c r="D11" s="4">
        <v>5</v>
      </c>
      <c r="E11" s="4">
        <v>4</v>
      </c>
      <c r="F11" s="4">
        <v>3</v>
      </c>
      <c r="G11" s="4">
        <v>3</v>
      </c>
      <c r="H11" s="4">
        <v>3</v>
      </c>
      <c r="I11" s="4">
        <v>4</v>
      </c>
      <c r="J11" s="3">
        <f t="shared" si="1"/>
        <v>26</v>
      </c>
      <c r="L11" s="4">
        <f>(C11-$C$15)^2</f>
        <v>8.99999999999999E-2</v>
      </c>
    </row>
    <row r="12" spans="1:21" x14ac:dyDescent="0.3">
      <c r="B12" s="3" t="s">
        <v>12</v>
      </c>
      <c r="C12" s="4">
        <v>5</v>
      </c>
      <c r="D12" s="4">
        <v>5</v>
      </c>
      <c r="E12" s="4">
        <v>5</v>
      </c>
      <c r="F12" s="4">
        <v>5</v>
      </c>
      <c r="G12" s="4">
        <v>4</v>
      </c>
      <c r="H12" s="4">
        <v>5</v>
      </c>
      <c r="I12" s="4">
        <v>5</v>
      </c>
      <c r="J12" s="3">
        <f t="shared" si="1"/>
        <v>34</v>
      </c>
      <c r="L12" s="4">
        <f>(C12-$C$15)^2</f>
        <v>1.6899999999999995</v>
      </c>
    </row>
    <row r="13" spans="1:21" x14ac:dyDescent="0.3">
      <c r="B13" s="3" t="s">
        <v>13</v>
      </c>
      <c r="C13" s="4">
        <v>4</v>
      </c>
      <c r="D13" s="4">
        <v>4</v>
      </c>
      <c r="E13" s="4">
        <v>5</v>
      </c>
      <c r="F13" s="4">
        <v>5</v>
      </c>
      <c r="G13" s="4">
        <v>5</v>
      </c>
      <c r="H13" s="4">
        <v>4</v>
      </c>
      <c r="I13" s="4">
        <v>3</v>
      </c>
      <c r="J13" s="3">
        <f t="shared" si="1"/>
        <v>30</v>
      </c>
      <c r="L13" s="4">
        <f>(C13-$C$15)^2</f>
        <v>8.99999999999999E-2</v>
      </c>
    </row>
    <row r="14" spans="1:21" ht="15" thickBot="1" x14ac:dyDescent="0.35">
      <c r="B14" s="6" t="s">
        <v>3</v>
      </c>
      <c r="C14" s="7">
        <f>SUM(C4:C13)</f>
        <v>37</v>
      </c>
      <c r="D14" s="7">
        <f t="shared" ref="D14:J14" si="6">SUM(D4:D13)</f>
        <v>36</v>
      </c>
      <c r="E14" s="7">
        <f t="shared" si="6"/>
        <v>34</v>
      </c>
      <c r="F14" s="7">
        <f t="shared" si="6"/>
        <v>36</v>
      </c>
      <c r="G14" s="7">
        <f t="shared" si="6"/>
        <v>37</v>
      </c>
      <c r="H14" s="7">
        <f t="shared" si="6"/>
        <v>39</v>
      </c>
      <c r="I14" s="7">
        <f t="shared" si="6"/>
        <v>38</v>
      </c>
      <c r="J14" s="7">
        <f t="shared" si="6"/>
        <v>257</v>
      </c>
      <c r="L14" s="7">
        <f>SUM(L4:L13)</f>
        <v>22.099999999999998</v>
      </c>
    </row>
    <row r="15" spans="1:21" x14ac:dyDescent="0.3">
      <c r="A15" s="19" t="s">
        <v>30</v>
      </c>
      <c r="B15" s="18" t="s">
        <v>23</v>
      </c>
      <c r="C15" s="7">
        <f>C14/COUNT(C4:C13)</f>
        <v>3.7</v>
      </c>
      <c r="D15" s="7">
        <f t="shared" ref="D15:J15" si="7">D14/COUNT(D4:D13)</f>
        <v>3.6</v>
      </c>
      <c r="E15" s="7">
        <f t="shared" si="7"/>
        <v>3.4</v>
      </c>
      <c r="F15" s="7">
        <f t="shared" si="7"/>
        <v>3.6</v>
      </c>
      <c r="G15" s="7">
        <f t="shared" si="7"/>
        <v>3.7</v>
      </c>
      <c r="H15" s="7">
        <f t="shared" si="7"/>
        <v>3.9</v>
      </c>
      <c r="I15" s="7">
        <f t="shared" si="7"/>
        <v>3.8</v>
      </c>
      <c r="J15" s="7">
        <f t="shared" si="7"/>
        <v>25.7</v>
      </c>
      <c r="L15" s="7" t="s">
        <v>25</v>
      </c>
    </row>
    <row r="16" spans="1:21" ht="15" thickBot="1" x14ac:dyDescent="0.35">
      <c r="A16" s="20">
        <f>SUM(C16:I16)</f>
        <v>11.100000000000001</v>
      </c>
      <c r="B16" s="18" t="s">
        <v>22</v>
      </c>
      <c r="C16" s="11">
        <f>(((C4-C15)^2)+((C5-C15)^2)+((C6-C15)^2)+((C7-C15)^2)+((C8-C15)^2)+((C9-C15)^2)+((C10-C15)^2)+((C11-C15)^2)+((C12-C15)^2)+((C13-C15)^2))/9</f>
        <v>2.4555555555555553</v>
      </c>
      <c r="D16" s="7">
        <f>_xlfn.VAR.S(D4:D13)</f>
        <v>1.8222222222222229</v>
      </c>
      <c r="E16" s="7">
        <f>_xlfn.VAR.S(E4:E13)</f>
        <v>1.3777777777777784</v>
      </c>
      <c r="F16" s="7">
        <f>(((F4-F15)^2)+((F5-F15)^2)+((F6-F15)^2)+((F7-F15)^2)+((F8-F15)^2)+((F9-F15)^2)+((F10-F15)^2)+((F11-F15)^2)+((F12-F15)^2)+((F13-F15)^2))/9</f>
        <v>1.822222222222222</v>
      </c>
      <c r="G16" s="7">
        <f>(((G4-G15)^2)+((G5-G15)^2)+((G6-G15)^2)+((G7-G15)^2)+((G8-G15)^2)+((G9-G15)^2)+((G10-G15)^2)+((G11-G15)^2)+((G12-G15)^2)+((G13-G15)^2))/9</f>
        <v>1.1222222222222222</v>
      </c>
      <c r="H16" s="7">
        <f>(((H4-H15)^2)+((H5-H15)^2)+((H6-H15)^2)+((H7-H15)^2)+((H8-H15)^2)+((H9-H15)^2)+((H10-H15)^2)+((H11-H15)^2)+((H12-H15)^2)+((H13-H15)^2))/9</f>
        <v>1.4333333333333333</v>
      </c>
      <c r="I16" s="7">
        <f>(((I4-I15)^2)+((I5-I15)^2)+((I6-I15)^2)+((I7-I15)^2)+((I8-I15)^2)+((I9-I15)^2)+((I10-I15)^2)+((I11-I15)^2)+((I12-I15)^2)+((I13-I15)^2))/9</f>
        <v>1.0666666666666669</v>
      </c>
      <c r="J16" s="10">
        <f>(((J4-J15)^2)+((J5-J15)^2)+((J6-J15)^2)+((J7-J15)^2)+((J8-J15)^2)+((J9-J15)^2)+((J10-J15)^2)+((J11-J15)^2)+((J12-J15)^2)+((J13-J15)^2))/9</f>
        <v>55.566666666666656</v>
      </c>
      <c r="L16" s="7">
        <f>L14/9</f>
        <v>2.4555555555555553</v>
      </c>
    </row>
    <row r="17" spans="2:12" x14ac:dyDescent="0.3">
      <c r="B17" s="6" t="s">
        <v>27</v>
      </c>
      <c r="C17" s="12">
        <f>SQRT(C16)</f>
        <v>1.567021236472421</v>
      </c>
      <c r="D17" s="6">
        <f>_xlfn.STDEV.S(D4:D13)</f>
        <v>1.3498971154211061</v>
      </c>
      <c r="E17" s="6">
        <f t="shared" ref="E17:I17" si="8">_xlfn.STDEV.S(E4:E13)</f>
        <v>1.1737877907772676</v>
      </c>
      <c r="F17" s="6">
        <f t="shared" si="8"/>
        <v>1.3498971154211061</v>
      </c>
      <c r="G17" s="6">
        <f t="shared" si="8"/>
        <v>1.05934990547138</v>
      </c>
      <c r="H17" s="6">
        <f t="shared" si="8"/>
        <v>1.1972189997378651</v>
      </c>
      <c r="I17" s="6">
        <f t="shared" si="8"/>
        <v>1.0327955589886442</v>
      </c>
      <c r="J17" s="6">
        <f>_xlfn.STDEV.S(J4:J13)</f>
        <v>7.4543052437277284</v>
      </c>
    </row>
    <row r="22" spans="2:12" x14ac:dyDescent="0.3">
      <c r="B22" s="13" t="s">
        <v>28</v>
      </c>
      <c r="C22" t="str">
        <f>"(5/4) * (1-("&amp;A16&amp;"/"&amp;J16&amp;"))"</f>
        <v>(5/4) * (1-(11.1/55.5666666666667))</v>
      </c>
    </row>
    <row r="23" spans="2:12" x14ac:dyDescent="0.3">
      <c r="B23" s="13" t="s">
        <v>28</v>
      </c>
      <c r="C23" t="str">
        <f>5/4 &amp;" * (1-"&amp;A16/J16&amp;")"</f>
        <v>1.25 * (1-0.199760047990402)</v>
      </c>
    </row>
    <row r="24" spans="2:12" x14ac:dyDescent="0.3">
      <c r="B24" s="13" t="s">
        <v>28</v>
      </c>
      <c r="C24" t="str">
        <f>5/4 &amp;" * "&amp; 1 - (A16/J16)</f>
        <v>1.25 * 0.800239952009598</v>
      </c>
    </row>
    <row r="25" spans="2:12" x14ac:dyDescent="0.3">
      <c r="B25" s="13" t="s">
        <v>28</v>
      </c>
      <c r="C25" s="14">
        <f>5/4 *( 1 - (A16/J16))</f>
        <v>1.0002999400119974</v>
      </c>
    </row>
    <row r="27" spans="2:12" x14ac:dyDescent="0.3">
      <c r="B27" s="16" t="s">
        <v>29</v>
      </c>
      <c r="C27" s="17">
        <v>0.63190000000000002</v>
      </c>
    </row>
    <row r="29" spans="2:12" x14ac:dyDescent="0.3">
      <c r="B29" s="15" t="s">
        <v>31</v>
      </c>
      <c r="C29" s="21"/>
      <c r="D29" s="21"/>
      <c r="E29" s="21"/>
      <c r="F29" s="21"/>
      <c r="G29" s="21"/>
      <c r="H29" s="21"/>
      <c r="I29" s="21"/>
      <c r="J29" s="21"/>
      <c r="K29" s="21"/>
      <c r="L29" s="21"/>
    </row>
    <row r="30" spans="2:12" x14ac:dyDescent="0.3">
      <c r="B30" s="15" t="s">
        <v>32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</row>
    <row r="31" spans="2:12" x14ac:dyDescent="0.3">
      <c r="B31" s="15" t="s">
        <v>33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</row>
    <row r="32" spans="2:12" x14ac:dyDescent="0.3">
      <c r="B32" s="15" t="str">
        <f>"   tingkat reliabelitas instrumen baik, jika rac &gt; r-tabel. Dengan n = 10 dan taraf signifikasi a=5% diperoleh r-tabel "&amp;C27</f>
        <v xml:space="preserve">   tingkat reliabelitas instrumen baik, jika rac &gt; r-tabel. Dengan n = 10 dan taraf signifikasi a=5% diperoleh r-tabel 0.6319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</row>
    <row r="33" spans="2:12" x14ac:dyDescent="0.3"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</row>
    <row r="34" spans="2:12" x14ac:dyDescent="0.3">
      <c r="B34" s="15" t="s">
        <v>34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</row>
    <row r="35" spans="2:12" x14ac:dyDescent="0.3">
      <c r="B35" s="15" t="s">
        <v>35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</row>
  </sheetData>
  <mergeCells count="3">
    <mergeCell ref="B2:B3"/>
    <mergeCell ref="C2:I2"/>
    <mergeCell ref="J2:J3"/>
  </mergeCells>
  <pageMargins left="0.7" right="0.7" top="0.75" bottom="0.75" header="0.3" footer="0.3"/>
  <pageSetup paperSize="9" orientation="portrait" horizontalDpi="0" verticalDpi="0" r:id="rId1"/>
  <ignoredErrors>
    <ignoredError sqref="C14:I14" formulaRange="1"/>
  </ignoredError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Tugas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2025-11-26T10:53:39Z</dcterms:modified>
</cp:coreProperties>
</file>