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liah\Statistik\"/>
    </mc:Choice>
  </mc:AlternateContent>
  <bookViews>
    <workbookView xWindow="0" yWindow="0" windowWidth="17676" windowHeight="119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N66" i="1" l="1"/>
  <c r="T64" i="1" s="1"/>
  <c r="X59" i="1"/>
  <c r="W59" i="1"/>
  <c r="V59" i="1"/>
  <c r="U59" i="1"/>
  <c r="T59" i="1"/>
  <c r="S59" i="1"/>
  <c r="R59" i="1"/>
  <c r="Q59" i="1"/>
  <c r="P59" i="1"/>
  <c r="O59" i="1"/>
  <c r="X58" i="1"/>
  <c r="W58" i="1"/>
  <c r="W60" i="1" s="1"/>
  <c r="V58" i="1"/>
  <c r="U58" i="1"/>
  <c r="T58" i="1"/>
  <c r="S58" i="1"/>
  <c r="R58" i="1"/>
  <c r="Q58" i="1"/>
  <c r="P58" i="1"/>
  <c r="O58" i="1"/>
  <c r="O60" i="1" s="1"/>
  <c r="V60" i="1" l="1"/>
  <c r="P60" i="1"/>
  <c r="X60" i="1"/>
  <c r="U60" i="1"/>
  <c r="Q60" i="1"/>
  <c r="T60" i="1"/>
  <c r="S60" i="1"/>
  <c r="R60" i="1"/>
  <c r="M44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D36" i="1"/>
  <c r="E36" i="1"/>
  <c r="F36" i="1"/>
  <c r="G36" i="1"/>
  <c r="H36" i="1"/>
  <c r="I36" i="1"/>
  <c r="C36" i="1"/>
  <c r="H29" i="1"/>
  <c r="D13" i="1"/>
  <c r="D51" i="1" s="1"/>
  <c r="E13" i="1"/>
  <c r="E14" i="1" s="1"/>
  <c r="E56" i="1" s="1"/>
  <c r="F13" i="1"/>
  <c r="F14" i="1" s="1"/>
  <c r="F56" i="1" s="1"/>
  <c r="G13" i="1"/>
  <c r="G14" i="1" s="1"/>
  <c r="G56" i="1" s="1"/>
  <c r="H13" i="1"/>
  <c r="H51" i="1" s="1"/>
  <c r="I13" i="1"/>
  <c r="I14" i="1" s="1"/>
  <c r="I56" i="1" s="1"/>
  <c r="C13" i="1"/>
  <c r="C51" i="1" s="1"/>
  <c r="D22" i="1"/>
  <c r="M38" i="1"/>
  <c r="F24" i="1"/>
  <c r="M40" i="1"/>
  <c r="D26" i="1"/>
  <c r="E27" i="1"/>
  <c r="F28" i="1"/>
  <c r="G29" i="1"/>
  <c r="H30" i="1"/>
  <c r="D29" i="1" l="1"/>
  <c r="G28" i="1"/>
  <c r="C28" i="1"/>
  <c r="I26" i="1"/>
  <c r="E26" i="1"/>
  <c r="I30" i="1"/>
  <c r="H25" i="1"/>
  <c r="E30" i="1"/>
  <c r="G24" i="1"/>
  <c r="C24" i="1"/>
  <c r="M39" i="1"/>
  <c r="E22" i="1"/>
  <c r="I22" i="1"/>
  <c r="H14" i="1"/>
  <c r="H56" i="1" s="1"/>
  <c r="C21" i="1"/>
  <c r="M36" i="1"/>
  <c r="D14" i="1"/>
  <c r="D56" i="1" s="1"/>
  <c r="I46" i="1"/>
  <c r="I54" i="1" s="1"/>
  <c r="G46" i="1"/>
  <c r="G54" i="1" s="1"/>
  <c r="H46" i="1"/>
  <c r="H54" i="1" s="1"/>
  <c r="F46" i="1"/>
  <c r="F54" i="1" s="1"/>
  <c r="E46" i="1"/>
  <c r="E54" i="1" s="1"/>
  <c r="C46" i="1"/>
  <c r="C54" i="1" s="1"/>
  <c r="D46" i="1"/>
  <c r="D54" i="1" s="1"/>
  <c r="G51" i="1"/>
  <c r="M13" i="1"/>
  <c r="C14" i="1"/>
  <c r="C56" i="1" s="1"/>
  <c r="I21" i="1"/>
  <c r="G30" i="1"/>
  <c r="F29" i="1"/>
  <c r="E28" i="1"/>
  <c r="D27" i="1"/>
  <c r="C26" i="1"/>
  <c r="E24" i="1"/>
  <c r="D23" i="1"/>
  <c r="C22" i="1"/>
  <c r="M37" i="1"/>
  <c r="I51" i="1"/>
  <c r="F27" i="1"/>
  <c r="H21" i="1"/>
  <c r="F30" i="1"/>
  <c r="E29" i="1"/>
  <c r="D28" i="1"/>
  <c r="C27" i="1"/>
  <c r="I25" i="1"/>
  <c r="D24" i="1"/>
  <c r="C23" i="1"/>
  <c r="M45" i="1"/>
  <c r="F21" i="1"/>
  <c r="D30" i="1"/>
  <c r="C29" i="1"/>
  <c r="I27" i="1"/>
  <c r="H26" i="1"/>
  <c r="C25" i="1"/>
  <c r="I23" i="1"/>
  <c r="H22" i="1"/>
  <c r="M43" i="1"/>
  <c r="F51" i="1"/>
  <c r="G21" i="1"/>
  <c r="E21" i="1"/>
  <c r="C30" i="1"/>
  <c r="I28" i="1"/>
  <c r="H27" i="1"/>
  <c r="G26" i="1"/>
  <c r="I24" i="1"/>
  <c r="H23" i="1"/>
  <c r="G22" i="1"/>
  <c r="M42" i="1"/>
  <c r="E51" i="1"/>
  <c r="D21" i="1"/>
  <c r="I29" i="1"/>
  <c r="H28" i="1"/>
  <c r="G27" i="1"/>
  <c r="F26" i="1"/>
  <c r="H24" i="1"/>
  <c r="G23" i="1"/>
  <c r="F22" i="1"/>
  <c r="M41" i="1"/>
  <c r="F23" i="1"/>
  <c r="E23" i="1"/>
  <c r="G25" i="1"/>
  <c r="F25" i="1"/>
  <c r="E25" i="1"/>
  <c r="D25" i="1"/>
  <c r="E31" i="1" l="1"/>
  <c r="E53" i="1" s="1"/>
  <c r="H31" i="1"/>
  <c r="H53" i="1" s="1"/>
  <c r="F31" i="1"/>
  <c r="F53" i="1" s="1"/>
  <c r="D31" i="1"/>
  <c r="D53" i="1" s="1"/>
  <c r="M46" i="1"/>
  <c r="I55" i="1" s="1"/>
  <c r="C31" i="1"/>
  <c r="C53" i="1" s="1"/>
  <c r="I31" i="1"/>
  <c r="I53" i="1" s="1"/>
  <c r="G31" i="1"/>
  <c r="G53" i="1" s="1"/>
  <c r="M14" i="1"/>
  <c r="C57" i="1" s="1"/>
  <c r="I52" i="1"/>
  <c r="C52" i="1"/>
  <c r="D52" i="1"/>
  <c r="E52" i="1"/>
  <c r="F52" i="1"/>
  <c r="G52" i="1"/>
  <c r="H52" i="1"/>
  <c r="I58" i="1" l="1"/>
  <c r="C58" i="1"/>
  <c r="E58" i="1"/>
  <c r="G58" i="1"/>
  <c r="I59" i="1"/>
  <c r="D58" i="1"/>
  <c r="F58" i="1"/>
  <c r="H58" i="1"/>
  <c r="E55" i="1"/>
  <c r="E59" i="1" s="1"/>
  <c r="G55" i="1"/>
  <c r="G59" i="1" s="1"/>
  <c r="D55" i="1"/>
  <c r="D59" i="1" s="1"/>
  <c r="H55" i="1"/>
  <c r="H59" i="1" s="1"/>
  <c r="F55" i="1"/>
  <c r="F59" i="1" s="1"/>
  <c r="C55" i="1"/>
  <c r="D57" i="1"/>
  <c r="F57" i="1"/>
  <c r="G57" i="1"/>
  <c r="H57" i="1"/>
  <c r="I57" i="1"/>
  <c r="E57" i="1"/>
  <c r="I60" i="1" l="1"/>
  <c r="S71" i="1" s="1"/>
  <c r="T71" i="1" s="1"/>
  <c r="E60" i="1"/>
  <c r="S67" i="1" s="1"/>
  <c r="U67" i="1" s="1"/>
  <c r="G60" i="1"/>
  <c r="S69" i="1" s="1"/>
  <c r="T69" i="1" s="1"/>
  <c r="F60" i="1"/>
  <c r="S68" i="1" s="1"/>
  <c r="T68" i="1" s="1"/>
  <c r="H60" i="1"/>
  <c r="S70" i="1" s="1"/>
  <c r="D60" i="1"/>
  <c r="S66" i="1" s="1"/>
  <c r="C59" i="1"/>
  <c r="C60" i="1" s="1"/>
  <c r="S65" i="1" s="1"/>
  <c r="U71" i="1" l="1"/>
  <c r="T67" i="1"/>
  <c r="U69" i="1"/>
  <c r="U70" i="1"/>
  <c r="T70" i="1"/>
  <c r="U68" i="1"/>
  <c r="U66" i="1"/>
  <c r="T66" i="1"/>
  <c r="T65" i="1"/>
  <c r="U65" i="1"/>
  <c r="R73" i="1" l="1"/>
</calcChain>
</file>

<file path=xl/sharedStrings.xml><?xml version="1.0" encoding="utf-8"?>
<sst xmlns="http://schemas.openxmlformats.org/spreadsheetml/2006/main" count="64" uniqueCount="54">
  <si>
    <t>Responden</t>
  </si>
  <si>
    <t>Q1</t>
  </si>
  <si>
    <t>Q2</t>
  </si>
  <si>
    <t>Q3</t>
  </si>
  <si>
    <t>Q4</t>
  </si>
  <si>
    <t>Q5</t>
  </si>
  <si>
    <t>Q6</t>
  </si>
  <si>
    <t>Q7</t>
  </si>
  <si>
    <t>Total</t>
  </si>
  <si>
    <t>Total Ei</t>
  </si>
  <si>
    <t>Total (Ei)</t>
  </si>
  <si>
    <t>Subjek</t>
  </si>
  <si>
    <t>skor item ^2</t>
  </si>
  <si>
    <t>Ukur</t>
  </si>
  <si>
    <t>Item</t>
  </si>
  <si>
    <t>Ex</t>
  </si>
  <si>
    <t>Ei</t>
  </si>
  <si>
    <t>n</t>
  </si>
  <si>
    <t>Eix</t>
  </si>
  <si>
    <t>Skor item ix</t>
  </si>
  <si>
    <t>E i^2</t>
  </si>
  <si>
    <t>E x^2</t>
  </si>
  <si>
    <t>(E i)^2</t>
  </si>
  <si>
    <t>(Ex)^2</t>
  </si>
  <si>
    <t>Bantuan 1</t>
  </si>
  <si>
    <t>Bantuan 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</si>
  <si>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</si>
  <si>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</si>
  <si>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</si>
  <si>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</si>
  <si>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</si>
  <si>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</si>
  <si>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</si>
  <si>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</si>
  <si>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</si>
  <si>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</si>
  <si>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Σ i</t>
  </si>
  <si>
    <t>Σ x</t>
  </si>
  <si>
    <t>Σ ix</t>
  </si>
  <si>
    <t>Σ i^2</t>
  </si>
  <si>
    <t>Σ x^2</t>
  </si>
  <si>
    <t>(Σ i)^2</t>
  </si>
  <si>
    <t>(Σ x)^2</t>
  </si>
  <si>
    <t>Kolerasi</t>
  </si>
  <si>
    <t>Data PPT</t>
  </si>
  <si>
    <t>Kolerasi (r -ix)</t>
  </si>
  <si>
    <t>Validasi Item</t>
  </si>
  <si>
    <t>R table = n-2</t>
  </si>
  <si>
    <t>=10-2</t>
  </si>
  <si>
    <t>Q8</t>
  </si>
  <si>
    <t>Q9</t>
  </si>
  <si>
    <t>Q10</t>
  </si>
  <si>
    <t>Hidayati</t>
  </si>
  <si>
    <t>Rizki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</si>
</sst>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2" tint="-0.249977111117893"/>
      <name val="Calibri"/>
      <family val="2"/>
      <charset val="1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4" fillId="0" borderId="1" xfId="0" applyFont="1" applyBorder="1"/>
    <xf numFmtId="0" fontId="1" fillId="2" borderId="1" xfId="1" applyBorder="1"/>
    <xf numFmtId="0" fontId="3" fillId="0" borderId="1" xfId="0" applyFont="1" applyBorder="1"/>
    <xf numFmtId="0" fontId="0" fillId="0" borderId="0" xfId="0" quotePrefix="1"/>
    <xf numFmtId="0" fontId="0" fillId="0" borderId="0" xfId="0" applyAlignment="1">
      <alignment horizontal="left" vertical="top"/>
    </xf>
    <xf numFmtId="0" fontId="5" fillId="0" borderId="0" xfId="0" applyFont="1"/>
    <xf numFmtId="0" fontId="0" fillId="3" borderId="1" xfId="0" applyFill="1" applyBorder="1" applyAlignment="1">
      <alignment horizontal="center" vertical="center" wrapText="1"/>
    </xf>
    <xf numFmtId="0" fontId="1" fillId="2" borderId="3" xfId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0" fontId="0" fillId="0" borderId="0" xfId="0" applyBorder="1"/>
    <xf numFmtId="0" fontId="3" fillId="0" borderId="0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62</xdr:row>
      <xdr:rowOff>7619</xdr:rowOff>
    </xdr:from>
    <xdr:to>
      <xdr:col>8</xdr:col>
      <xdr:colOff>312420</xdr:colOff>
      <xdr:row>81</xdr:row>
      <xdr:rowOff>29688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311"/>
        <a:stretch/>
      </xdr:blipFill>
      <xdr:spPr>
        <a:xfrm>
          <a:off x="327660" y="11529059"/>
          <a:ext cx="5173980" cy="3862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73"/>
  <sheetViews>
    <sheetView tabSelected="1" topLeftCell="A43" workbookViewId="0">
      <selection activeCell="L22" sqref="L22"/>
    </sheetView>
  </sheetViews>
  <sheetFormatPr defaultRowHeight="14.4" x14ac:dyDescent="0.3"/>
  <cols>
    <col min="2" max="2" width="13.44140625" customWidth="1"/>
    <col min="16" max="16" width="9.44140625" customWidth="1"/>
    <col min="20" max="20" width="15.21875" customWidth="1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49</v>
      </c>
      <c r="K2" s="1" t="s">
        <v>50</v>
      </c>
      <c r="L2" s="1" t="s">
        <v>51</v>
      </c>
      <c r="M2" s="1" t="s">
        <v>8</v>
      </c>
    </row>
    <row r="3" spans="2:13" x14ac:dyDescent="0.3">
      <c r="B3" s="2" t="s">
        <v>52</v>
      </c>
      <c r="C3" s="1">
        <v>5</v>
      </c>
      <c r="D3" s="1">
        <v>5</v>
      </c>
      <c r="E3" s="1">
        <v>4</v>
      </c>
      <c r="F3" s="1">
        <v>5</v>
      </c>
      <c r="G3" s="1">
        <v>4</v>
      </c>
      <c r="H3" s="1">
        <v>5</v>
      </c>
      <c r="I3" s="1">
        <v>3</v>
      </c>
      <c r="J3" s="1"/>
      <c r="K3" s="1"/>
      <c r="L3" s="1"/>
      <c r="M3" s="1">
        <f>SUM(C3:I3)</f>
        <v>31</v>
      </c>
    </row>
    <row r="4" spans="2:13" x14ac:dyDescent="0.3">
      <c r="B4" s="2" t="s">
        <v>53</v>
      </c>
      <c r="C4" s="1">
        <v>5</v>
      </c>
      <c r="D4" s="1">
        <v>3</v>
      </c>
      <c r="E4" s="1">
        <v>3</v>
      </c>
      <c r="F4" s="1">
        <v>3</v>
      </c>
      <c r="G4" s="1">
        <v>4</v>
      </c>
      <c r="H4" s="1">
        <v>5</v>
      </c>
      <c r="I4" s="1">
        <v>4</v>
      </c>
      <c r="J4" s="1"/>
      <c r="K4" s="1"/>
      <c r="L4" s="1"/>
      <c r="M4" s="1">
        <f t="shared" ref="M4:M12" si="0">SUM(C4:I4)</f>
        <v>27</v>
      </c>
    </row>
    <row r="5" spans="2:13" x14ac:dyDescent="0.3">
      <c r="B5" s="2">
        <v>3</v>
      </c>
      <c r="C5" s="1">
        <v>1</v>
      </c>
      <c r="D5" s="1">
        <v>2</v>
      </c>
      <c r="E5" s="1">
        <v>3</v>
      </c>
      <c r="F5" s="1">
        <v>2</v>
      </c>
      <c r="G5" s="1">
        <v>2</v>
      </c>
      <c r="H5" s="1">
        <v>2</v>
      </c>
      <c r="I5" s="1">
        <v>3</v>
      </c>
      <c r="J5" s="1"/>
      <c r="K5" s="1"/>
      <c r="L5" s="1"/>
      <c r="M5" s="1">
        <f t="shared" si="0"/>
        <v>15</v>
      </c>
    </row>
    <row r="6" spans="2:13" x14ac:dyDescent="0.3">
      <c r="B6" s="2">
        <v>4</v>
      </c>
      <c r="C6" s="1">
        <v>5</v>
      </c>
      <c r="D6" s="1">
        <v>4</v>
      </c>
      <c r="E6" s="1">
        <v>3</v>
      </c>
      <c r="F6" s="1">
        <v>4</v>
      </c>
      <c r="G6" s="1">
        <v>5</v>
      </c>
      <c r="H6" s="1">
        <v>4</v>
      </c>
      <c r="I6" s="1">
        <v>5</v>
      </c>
      <c r="J6" s="1"/>
      <c r="K6" s="1"/>
      <c r="L6" s="1"/>
      <c r="M6" s="1">
        <f t="shared" si="0"/>
        <v>30</v>
      </c>
    </row>
    <row r="7" spans="2:13" x14ac:dyDescent="0.3">
      <c r="B7" s="2">
        <v>5</v>
      </c>
      <c r="C7" s="1">
        <v>3</v>
      </c>
      <c r="D7" s="1">
        <v>3</v>
      </c>
      <c r="E7" s="1">
        <v>3</v>
      </c>
      <c r="F7" s="1">
        <v>4</v>
      </c>
      <c r="G7" s="1">
        <v>4</v>
      </c>
      <c r="H7" s="1">
        <v>5</v>
      </c>
      <c r="I7" s="1">
        <v>5</v>
      </c>
      <c r="J7" s="1"/>
      <c r="K7" s="1"/>
      <c r="L7" s="1"/>
      <c r="M7" s="1">
        <f t="shared" si="0"/>
        <v>27</v>
      </c>
    </row>
    <row r="8" spans="2:13" x14ac:dyDescent="0.3">
      <c r="B8" s="2">
        <v>6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H8" s="1">
        <v>2</v>
      </c>
      <c r="I8" s="1">
        <v>2</v>
      </c>
      <c r="J8" s="1"/>
      <c r="K8" s="1"/>
      <c r="L8" s="1"/>
      <c r="M8" s="1">
        <f t="shared" si="0"/>
        <v>10</v>
      </c>
    </row>
    <row r="9" spans="2:13" x14ac:dyDescent="0.3">
      <c r="B9" s="2">
        <v>7</v>
      </c>
      <c r="C9" s="1">
        <v>4</v>
      </c>
      <c r="D9" s="1">
        <v>4</v>
      </c>
      <c r="E9" s="1">
        <v>3</v>
      </c>
      <c r="F9" s="1">
        <v>4</v>
      </c>
      <c r="G9" s="1">
        <v>4</v>
      </c>
      <c r="H9" s="1">
        <v>4</v>
      </c>
      <c r="I9" s="1">
        <v>4</v>
      </c>
      <c r="J9" s="1"/>
      <c r="K9" s="1"/>
      <c r="L9" s="1"/>
      <c r="M9" s="1">
        <f t="shared" si="0"/>
        <v>27</v>
      </c>
    </row>
    <row r="10" spans="2:13" x14ac:dyDescent="0.3">
      <c r="B10" s="2">
        <v>8</v>
      </c>
      <c r="C10" s="1">
        <v>4</v>
      </c>
      <c r="D10" s="1">
        <v>5</v>
      </c>
      <c r="E10" s="1">
        <v>4</v>
      </c>
      <c r="F10" s="1">
        <v>3</v>
      </c>
      <c r="G10" s="1">
        <v>3</v>
      </c>
      <c r="H10" s="1">
        <v>3</v>
      </c>
      <c r="I10" s="1">
        <v>4</v>
      </c>
      <c r="J10" s="1"/>
      <c r="K10" s="1"/>
      <c r="L10" s="1"/>
      <c r="M10" s="1">
        <f t="shared" si="0"/>
        <v>26</v>
      </c>
    </row>
    <row r="11" spans="2:13" x14ac:dyDescent="0.3">
      <c r="B11" s="2">
        <v>9</v>
      </c>
      <c r="C11" s="1">
        <v>5</v>
      </c>
      <c r="D11" s="1">
        <v>5</v>
      </c>
      <c r="E11" s="1">
        <v>5</v>
      </c>
      <c r="F11" s="1">
        <v>5</v>
      </c>
      <c r="G11" s="1">
        <v>4</v>
      </c>
      <c r="H11" s="1">
        <v>5</v>
      </c>
      <c r="I11" s="1">
        <v>5</v>
      </c>
      <c r="J11" s="1"/>
      <c r="K11" s="1"/>
      <c r="L11" s="1"/>
      <c r="M11" s="1">
        <f t="shared" si="0"/>
        <v>34</v>
      </c>
    </row>
    <row r="12" spans="2:13" x14ac:dyDescent="0.3">
      <c r="B12" s="2">
        <v>10</v>
      </c>
      <c r="C12" s="1">
        <v>4</v>
      </c>
      <c r="D12" s="1">
        <v>4</v>
      </c>
      <c r="E12" s="1">
        <v>5</v>
      </c>
      <c r="F12" s="1">
        <v>5</v>
      </c>
      <c r="G12" s="1">
        <v>5</v>
      </c>
      <c r="H12" s="1">
        <v>4</v>
      </c>
      <c r="I12" s="1">
        <v>3</v>
      </c>
      <c r="J12" s="1"/>
      <c r="K12" s="1"/>
      <c r="L12" s="1"/>
      <c r="M12" s="1">
        <f t="shared" si="0"/>
        <v>30</v>
      </c>
    </row>
    <row r="13" spans="2:13" x14ac:dyDescent="0.3">
      <c r="B13" s="3" t="s">
        <v>9</v>
      </c>
      <c r="C13" s="3">
        <f>SUM(C3:C12)</f>
        <v>37</v>
      </c>
      <c r="D13" s="3">
        <f>SUM(D3:D12)</f>
        <v>36</v>
      </c>
      <c r="E13" s="3">
        <f>SUM(E3:E12)</f>
        <v>34</v>
      </c>
      <c r="F13" s="3">
        <f>SUM(F3:F12)</f>
        <v>36</v>
      </c>
      <c r="G13" s="3">
        <f>SUM(G3:G12)</f>
        <v>37</v>
      </c>
      <c r="H13" s="3">
        <f>SUM(H3:H12)</f>
        <v>39</v>
      </c>
      <c r="I13" s="3">
        <f>SUM(I3:I12)</f>
        <v>38</v>
      </c>
      <c r="J13" s="3"/>
      <c r="K13" s="3"/>
      <c r="L13" s="3"/>
      <c r="M13" s="4">
        <f>SUM(M3:M12)</f>
        <v>257</v>
      </c>
    </row>
    <row r="14" spans="2:13" x14ac:dyDescent="0.3">
      <c r="B14" s="3" t="s">
        <v>10</v>
      </c>
      <c r="C14" s="3">
        <f>C13*C13</f>
        <v>1369</v>
      </c>
      <c r="D14" s="3">
        <f t="shared" ref="D14:I14" si="1">D13*D13</f>
        <v>1296</v>
      </c>
      <c r="E14" s="3">
        <f t="shared" si="1"/>
        <v>1156</v>
      </c>
      <c r="F14" s="3">
        <f t="shared" si="1"/>
        <v>1296</v>
      </c>
      <c r="G14" s="3">
        <f t="shared" si="1"/>
        <v>1369</v>
      </c>
      <c r="H14" s="3">
        <f t="shared" si="1"/>
        <v>1521</v>
      </c>
      <c r="I14" s="3">
        <f t="shared" si="1"/>
        <v>1444</v>
      </c>
      <c r="J14" s="3"/>
      <c r="K14" s="3"/>
      <c r="L14" s="3"/>
      <c r="M14" s="3">
        <f>M13*M13</f>
        <v>66049</v>
      </c>
    </row>
    <row r="19" spans="2:12" x14ac:dyDescent="0.3">
      <c r="B19" s="18" t="s">
        <v>11</v>
      </c>
      <c r="C19" s="18" t="s">
        <v>19</v>
      </c>
      <c r="D19" s="18"/>
      <c r="E19" s="18"/>
      <c r="F19" s="18"/>
      <c r="G19" s="18"/>
      <c r="H19" s="18"/>
      <c r="I19" s="18"/>
      <c r="J19" s="23"/>
      <c r="K19" s="23"/>
      <c r="L19" s="23"/>
    </row>
    <row r="20" spans="2:12" x14ac:dyDescent="0.3">
      <c r="B20" s="18"/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24"/>
      <c r="K20" s="24"/>
      <c r="L20" s="24"/>
    </row>
    <row r="21" spans="2:12" x14ac:dyDescent="0.3">
      <c r="B21" s="6">
        <v>1</v>
      </c>
      <c r="C21" s="5">
        <f>$M3*C3</f>
        <v>155</v>
      </c>
      <c r="D21" s="5">
        <f>$M3*D3</f>
        <v>155</v>
      </c>
      <c r="E21" s="5">
        <f>$M3*E3</f>
        <v>124</v>
      </c>
      <c r="F21" s="5">
        <f>$M3*F3</f>
        <v>155</v>
      </c>
      <c r="G21" s="5">
        <f>$M3*G3</f>
        <v>124</v>
      </c>
      <c r="H21" s="5">
        <f>$M3*H3</f>
        <v>155</v>
      </c>
      <c r="I21" s="5">
        <f>$M3*I3</f>
        <v>93</v>
      </c>
      <c r="J21" s="25"/>
      <c r="K21" s="25"/>
      <c r="L21" s="25"/>
    </row>
    <row r="22" spans="2:12" x14ac:dyDescent="0.3">
      <c r="B22" s="6">
        <v>2</v>
      </c>
      <c r="C22" s="5">
        <f>$M4*C4</f>
        <v>135</v>
      </c>
      <c r="D22" s="5">
        <f>$M4*D4</f>
        <v>81</v>
      </c>
      <c r="E22" s="5">
        <f>$M4*E4</f>
        <v>81</v>
      </c>
      <c r="F22" s="5">
        <f>$M4*F4</f>
        <v>81</v>
      </c>
      <c r="G22" s="5">
        <f>$M4*G4</f>
        <v>108</v>
      </c>
      <c r="H22" s="5">
        <f>$M4*H4</f>
        <v>135</v>
      </c>
      <c r="I22" s="5">
        <f>$M4*I4</f>
        <v>108</v>
      </c>
      <c r="J22" s="25"/>
      <c r="K22" s="25"/>
      <c r="L22" s="25"/>
    </row>
    <row r="23" spans="2:12" x14ac:dyDescent="0.3">
      <c r="B23" s="6">
        <v>3</v>
      </c>
      <c r="C23" s="5">
        <f>$M5*C5</f>
        <v>15</v>
      </c>
      <c r="D23" s="5">
        <f>$M5*D5</f>
        <v>30</v>
      </c>
      <c r="E23" s="5">
        <f>$M5*E5</f>
        <v>45</v>
      </c>
      <c r="F23" s="5">
        <f>$M5*F5</f>
        <v>30</v>
      </c>
      <c r="G23" s="5">
        <f>$M5*G5</f>
        <v>30</v>
      </c>
      <c r="H23" s="5">
        <f>$M5*H5</f>
        <v>30</v>
      </c>
      <c r="I23" s="5">
        <f>$M5*I5</f>
        <v>45</v>
      </c>
      <c r="J23" s="25"/>
      <c r="K23" s="25"/>
      <c r="L23" s="25"/>
    </row>
    <row r="24" spans="2:12" x14ac:dyDescent="0.3">
      <c r="B24" s="6">
        <v>4</v>
      </c>
      <c r="C24" s="5">
        <f>$M6*C6</f>
        <v>150</v>
      </c>
      <c r="D24" s="5">
        <f>$M6*D6</f>
        <v>120</v>
      </c>
      <c r="E24" s="5">
        <f>$M6*E6</f>
        <v>90</v>
      </c>
      <c r="F24" s="5">
        <f>$M6*F6</f>
        <v>120</v>
      </c>
      <c r="G24" s="5">
        <f>$M6*G6</f>
        <v>150</v>
      </c>
      <c r="H24" s="5">
        <f>$M6*H6</f>
        <v>120</v>
      </c>
      <c r="I24" s="5">
        <f>$M6*I6</f>
        <v>150</v>
      </c>
      <c r="J24" s="25"/>
      <c r="K24" s="25"/>
      <c r="L24" s="25"/>
    </row>
    <row r="25" spans="2:12" x14ac:dyDescent="0.3">
      <c r="B25" s="6">
        <v>5</v>
      </c>
      <c r="C25" s="5">
        <f>$M7*C7</f>
        <v>81</v>
      </c>
      <c r="D25" s="5">
        <f>$M7*D7</f>
        <v>81</v>
      </c>
      <c r="E25" s="5">
        <f>$M7*E7</f>
        <v>81</v>
      </c>
      <c r="F25" s="5">
        <f>$M7*F7</f>
        <v>108</v>
      </c>
      <c r="G25" s="5">
        <f>$M7*G7</f>
        <v>108</v>
      </c>
      <c r="H25" s="5">
        <f>$M7*H7</f>
        <v>135</v>
      </c>
      <c r="I25" s="5">
        <f>$M7*I7</f>
        <v>135</v>
      </c>
      <c r="J25" s="25"/>
      <c r="K25" s="25"/>
      <c r="L25" s="25"/>
    </row>
    <row r="26" spans="2:12" x14ac:dyDescent="0.3">
      <c r="B26" s="6">
        <v>6</v>
      </c>
      <c r="C26" s="5">
        <f>$M8*C8</f>
        <v>10</v>
      </c>
      <c r="D26" s="5">
        <f>$M8*D8</f>
        <v>10</v>
      </c>
      <c r="E26" s="5">
        <f>$M8*E8</f>
        <v>10</v>
      </c>
      <c r="F26" s="5">
        <f>$M8*F8</f>
        <v>10</v>
      </c>
      <c r="G26" s="5">
        <f>$M8*G8</f>
        <v>20</v>
      </c>
      <c r="H26" s="5">
        <f>$M8*H8</f>
        <v>20</v>
      </c>
      <c r="I26" s="5">
        <f>$M8*I8</f>
        <v>20</v>
      </c>
      <c r="J26" s="25"/>
      <c r="K26" s="25"/>
      <c r="L26" s="25"/>
    </row>
    <row r="27" spans="2:12" x14ac:dyDescent="0.3">
      <c r="B27" s="6">
        <v>7</v>
      </c>
      <c r="C27" s="5">
        <f>$M9*C9</f>
        <v>108</v>
      </c>
      <c r="D27" s="5">
        <f>$M9*D9</f>
        <v>108</v>
      </c>
      <c r="E27" s="5">
        <f>$M9*E9</f>
        <v>81</v>
      </c>
      <c r="F27" s="5">
        <f>$M9*F9</f>
        <v>108</v>
      </c>
      <c r="G27" s="5">
        <f>$M9*G9</f>
        <v>108</v>
      </c>
      <c r="H27" s="5">
        <f>$M9*H9</f>
        <v>108</v>
      </c>
      <c r="I27" s="5">
        <f>$M9*I9</f>
        <v>108</v>
      </c>
      <c r="J27" s="25"/>
      <c r="K27" s="25"/>
      <c r="L27" s="25"/>
    </row>
    <row r="28" spans="2:12" x14ac:dyDescent="0.3">
      <c r="B28" s="6">
        <v>8</v>
      </c>
      <c r="C28" s="5">
        <f>$M10*C10</f>
        <v>104</v>
      </c>
      <c r="D28" s="5">
        <f>$M10*D10</f>
        <v>130</v>
      </c>
      <c r="E28" s="5">
        <f>$M10*E10</f>
        <v>104</v>
      </c>
      <c r="F28" s="5">
        <f>$M10*F10</f>
        <v>78</v>
      </c>
      <c r="G28" s="5">
        <f>$M10*G10</f>
        <v>78</v>
      </c>
      <c r="H28" s="5">
        <f>$M10*H10</f>
        <v>78</v>
      </c>
      <c r="I28" s="5">
        <f>$M10*I10</f>
        <v>104</v>
      </c>
      <c r="J28" s="25"/>
      <c r="K28" s="25"/>
      <c r="L28" s="25"/>
    </row>
    <row r="29" spans="2:12" x14ac:dyDescent="0.3">
      <c r="B29" s="6">
        <v>9</v>
      </c>
      <c r="C29" s="5">
        <f>$M11*C11</f>
        <v>170</v>
      </c>
      <c r="D29" s="5">
        <f>$M11*D11</f>
        <v>170</v>
      </c>
      <c r="E29" s="5">
        <f>$M11*E11</f>
        <v>170</v>
      </c>
      <c r="F29" s="5">
        <f>$M11*F11</f>
        <v>170</v>
      </c>
      <c r="G29" s="5">
        <f>$M11*G11</f>
        <v>136</v>
      </c>
      <c r="H29" s="5">
        <f>$M11*H11</f>
        <v>170</v>
      </c>
      <c r="I29" s="5">
        <f>$M11*I11</f>
        <v>170</v>
      </c>
      <c r="J29" s="25"/>
      <c r="K29" s="25"/>
      <c r="L29" s="25"/>
    </row>
    <row r="30" spans="2:12" x14ac:dyDescent="0.3">
      <c r="B30" s="6">
        <v>10</v>
      </c>
      <c r="C30" s="5">
        <f>$M12*C12</f>
        <v>120</v>
      </c>
      <c r="D30" s="5">
        <f>$M12*D12</f>
        <v>120</v>
      </c>
      <c r="E30" s="5">
        <f>$M12*E12</f>
        <v>150</v>
      </c>
      <c r="F30" s="5">
        <f>$M12*F12</f>
        <v>150</v>
      </c>
      <c r="G30" s="5">
        <f>$M12*G12</f>
        <v>150</v>
      </c>
      <c r="H30" s="5">
        <f>$M12*H12</f>
        <v>120</v>
      </c>
      <c r="I30" s="5">
        <f>$M12*I12</f>
        <v>90</v>
      </c>
      <c r="J30" s="25"/>
      <c r="K30" s="25"/>
      <c r="L30" s="25"/>
    </row>
    <row r="31" spans="2:12" x14ac:dyDescent="0.3">
      <c r="B31" s="6" t="s">
        <v>8</v>
      </c>
      <c r="C31" s="3">
        <f>SUM(C21:C30)</f>
        <v>1048</v>
      </c>
      <c r="D31" s="3">
        <f t="shared" ref="D31:I31" si="2">SUM(D21:D30)</f>
        <v>1005</v>
      </c>
      <c r="E31" s="3">
        <f t="shared" si="2"/>
        <v>936</v>
      </c>
      <c r="F31" s="3">
        <f t="shared" si="2"/>
        <v>1010</v>
      </c>
      <c r="G31" s="3">
        <f t="shared" si="2"/>
        <v>1012</v>
      </c>
      <c r="H31" s="3">
        <f t="shared" si="2"/>
        <v>1071</v>
      </c>
      <c r="I31" s="3">
        <f t="shared" si="2"/>
        <v>1023</v>
      </c>
      <c r="J31" s="24"/>
      <c r="K31" s="24"/>
      <c r="L31" s="24"/>
    </row>
    <row r="34" spans="2:24" x14ac:dyDescent="0.3">
      <c r="B34" s="18" t="s">
        <v>11</v>
      </c>
      <c r="C34" s="19" t="s">
        <v>12</v>
      </c>
      <c r="D34" s="19"/>
      <c r="E34" s="19"/>
      <c r="F34" s="19"/>
      <c r="G34" s="19"/>
      <c r="H34" s="19"/>
      <c r="I34" s="20"/>
      <c r="J34" s="7"/>
      <c r="K34" s="7"/>
      <c r="L34" s="7"/>
      <c r="M34" s="21" t="s">
        <v>8</v>
      </c>
    </row>
    <row r="35" spans="2:24" x14ac:dyDescent="0.3">
      <c r="B35" s="18"/>
      <c r="C35" s="5">
        <v>1</v>
      </c>
      <c r="D35" s="5">
        <v>2</v>
      </c>
      <c r="E35" s="5">
        <v>3</v>
      </c>
      <c r="F35" s="5">
        <v>4</v>
      </c>
      <c r="G35" s="5">
        <v>5</v>
      </c>
      <c r="H35" s="5">
        <v>6</v>
      </c>
      <c r="I35" s="8">
        <v>7</v>
      </c>
      <c r="J35" s="8"/>
      <c r="K35" s="8"/>
      <c r="L35" s="8"/>
      <c r="M35" s="21"/>
    </row>
    <row r="36" spans="2:24" x14ac:dyDescent="0.3">
      <c r="B36" s="9">
        <v>1</v>
      </c>
      <c r="C36" s="5">
        <f>C3*C3</f>
        <v>25</v>
      </c>
      <c r="D36" s="5">
        <f>D3*D3</f>
        <v>25</v>
      </c>
      <c r="E36" s="5">
        <f>E3*E3</f>
        <v>16</v>
      </c>
      <c r="F36" s="5">
        <f>F3*F3</f>
        <v>25</v>
      </c>
      <c r="G36" s="5">
        <f>G3*G3</f>
        <v>16</v>
      </c>
      <c r="H36" s="5">
        <f>H3*H3</f>
        <v>25</v>
      </c>
      <c r="I36" s="5">
        <f>I3*I3</f>
        <v>9</v>
      </c>
      <c r="J36" s="5"/>
      <c r="K36" s="5"/>
      <c r="L36" s="5"/>
      <c r="M36" s="3">
        <f>M3*M3</f>
        <v>961</v>
      </c>
    </row>
    <row r="37" spans="2:24" x14ac:dyDescent="0.3">
      <c r="B37" s="9">
        <v>2</v>
      </c>
      <c r="C37" s="5">
        <f>C4*C4</f>
        <v>25</v>
      </c>
      <c r="D37" s="5">
        <f>D4*D4</f>
        <v>9</v>
      </c>
      <c r="E37" s="5">
        <f>E4*E4</f>
        <v>9</v>
      </c>
      <c r="F37" s="5">
        <f>F4*F4</f>
        <v>9</v>
      </c>
      <c r="G37" s="5">
        <f>G4*G4</f>
        <v>16</v>
      </c>
      <c r="H37" s="5">
        <f>H4*H4</f>
        <v>25</v>
      </c>
      <c r="I37" s="5">
        <f>I4*I4</f>
        <v>16</v>
      </c>
      <c r="J37" s="5"/>
      <c r="K37" s="5"/>
      <c r="L37" s="5"/>
      <c r="M37" s="3">
        <f>M4*M4</f>
        <v>729</v>
      </c>
    </row>
    <row r="38" spans="2:24" x14ac:dyDescent="0.3">
      <c r="B38" s="9">
        <v>3</v>
      </c>
      <c r="C38" s="5">
        <f>C5*C5</f>
        <v>1</v>
      </c>
      <c r="D38" s="5">
        <f>D5*D5</f>
        <v>4</v>
      </c>
      <c r="E38" s="5">
        <f>E5*E5</f>
        <v>9</v>
      </c>
      <c r="F38" s="5">
        <f>F5*F5</f>
        <v>4</v>
      </c>
      <c r="G38" s="5">
        <f>G5*G5</f>
        <v>4</v>
      </c>
      <c r="H38" s="5">
        <f>H5*H5</f>
        <v>4</v>
      </c>
      <c r="I38" s="5">
        <f>I5*I5</f>
        <v>9</v>
      </c>
      <c r="J38" s="5"/>
      <c r="K38" s="5"/>
      <c r="L38" s="5"/>
      <c r="M38" s="3">
        <f>M5*M5</f>
        <v>225</v>
      </c>
    </row>
    <row r="39" spans="2:24" x14ac:dyDescent="0.3">
      <c r="B39" s="9">
        <v>4</v>
      </c>
      <c r="C39" s="5">
        <f>C6*C6</f>
        <v>25</v>
      </c>
      <c r="D39" s="5">
        <f>D6*D6</f>
        <v>16</v>
      </c>
      <c r="E39" s="5">
        <f>E6*E6</f>
        <v>9</v>
      </c>
      <c r="F39" s="5">
        <f>F6*F6</f>
        <v>16</v>
      </c>
      <c r="G39" s="5">
        <f>G6*G6</f>
        <v>25</v>
      </c>
      <c r="H39" s="5">
        <f>H6*H6</f>
        <v>16</v>
      </c>
      <c r="I39" s="5">
        <f>I6*I6</f>
        <v>25</v>
      </c>
      <c r="J39" s="5"/>
      <c r="K39" s="5"/>
      <c r="L39" s="5"/>
      <c r="M39" s="3">
        <f>M6*M6</f>
        <v>900</v>
      </c>
    </row>
    <row r="40" spans="2:24" x14ac:dyDescent="0.3">
      <c r="B40" s="9">
        <v>5</v>
      </c>
      <c r="C40" s="5">
        <f>C7*C7</f>
        <v>9</v>
      </c>
      <c r="D40" s="5">
        <f>D7*D7</f>
        <v>9</v>
      </c>
      <c r="E40" s="5">
        <f>E7*E7</f>
        <v>9</v>
      </c>
      <c r="F40" s="5">
        <f>F7*F7</f>
        <v>16</v>
      </c>
      <c r="G40" s="5">
        <f>G7*G7</f>
        <v>16</v>
      </c>
      <c r="H40" s="5">
        <f>H7*H7</f>
        <v>25</v>
      </c>
      <c r="I40" s="5">
        <f>I7*I7</f>
        <v>25</v>
      </c>
      <c r="J40" s="5"/>
      <c r="K40" s="5"/>
      <c r="L40" s="5"/>
      <c r="M40" s="3">
        <f>M7*M7</f>
        <v>729</v>
      </c>
    </row>
    <row r="41" spans="2:24" x14ac:dyDescent="0.3">
      <c r="B41" s="9">
        <v>6</v>
      </c>
      <c r="C41" s="5">
        <f>C8*C8</f>
        <v>1</v>
      </c>
      <c r="D41" s="5">
        <f>D8*D8</f>
        <v>1</v>
      </c>
      <c r="E41" s="5">
        <f>E8*E8</f>
        <v>1</v>
      </c>
      <c r="F41" s="5">
        <f>F8*F8</f>
        <v>1</v>
      </c>
      <c r="G41" s="5">
        <f>G8*G8</f>
        <v>4</v>
      </c>
      <c r="H41" s="5">
        <f>H8*H8</f>
        <v>4</v>
      </c>
      <c r="I41" s="5">
        <f>I8*I8</f>
        <v>4</v>
      </c>
      <c r="J41" s="5"/>
      <c r="K41" s="5"/>
      <c r="L41" s="5"/>
      <c r="M41" s="3">
        <f>M8*M8</f>
        <v>100</v>
      </c>
    </row>
    <row r="42" spans="2:24" x14ac:dyDescent="0.3">
      <c r="B42" s="9">
        <v>7</v>
      </c>
      <c r="C42" s="5">
        <f>C9*C9</f>
        <v>16</v>
      </c>
      <c r="D42" s="5">
        <f>D9*D9</f>
        <v>16</v>
      </c>
      <c r="E42" s="5">
        <f>E9*E9</f>
        <v>9</v>
      </c>
      <c r="F42" s="5">
        <f>F9*F9</f>
        <v>16</v>
      </c>
      <c r="G42" s="5">
        <f>G9*G9</f>
        <v>16</v>
      </c>
      <c r="H42" s="5">
        <f>H9*H9</f>
        <v>16</v>
      </c>
      <c r="I42" s="5">
        <f>I9*I9</f>
        <v>16</v>
      </c>
      <c r="J42" s="5"/>
      <c r="K42" s="5"/>
      <c r="L42" s="5"/>
      <c r="M42" s="3">
        <f>M9*M9</f>
        <v>729</v>
      </c>
    </row>
    <row r="43" spans="2:24" x14ac:dyDescent="0.3">
      <c r="B43" s="9">
        <v>8</v>
      </c>
      <c r="C43" s="5">
        <f>C10*C10</f>
        <v>16</v>
      </c>
      <c r="D43" s="5">
        <f>D10*D10</f>
        <v>25</v>
      </c>
      <c r="E43" s="5">
        <f>E10*E10</f>
        <v>16</v>
      </c>
      <c r="F43" s="5">
        <f>F10*F10</f>
        <v>9</v>
      </c>
      <c r="G43" s="5">
        <f>G10*G10</f>
        <v>9</v>
      </c>
      <c r="H43" s="5">
        <f>H10*H10</f>
        <v>9</v>
      </c>
      <c r="I43" s="5">
        <f>I10*I10</f>
        <v>16</v>
      </c>
      <c r="J43" s="5"/>
      <c r="K43" s="5"/>
      <c r="L43" s="5"/>
      <c r="M43" s="3">
        <f>M10*M10</f>
        <v>676</v>
      </c>
    </row>
    <row r="44" spans="2:24" x14ac:dyDescent="0.3">
      <c r="B44" s="9">
        <v>9</v>
      </c>
      <c r="C44" s="5">
        <f>C11*C11</f>
        <v>25</v>
      </c>
      <c r="D44" s="5">
        <f>D11*D11</f>
        <v>25</v>
      </c>
      <c r="E44" s="5">
        <f>E11*E11</f>
        <v>25</v>
      </c>
      <c r="F44" s="5">
        <f>F11*F11</f>
        <v>25</v>
      </c>
      <c r="G44" s="5">
        <f>G11*G11</f>
        <v>16</v>
      </c>
      <c r="H44" s="5">
        <f>H11*H11</f>
        <v>25</v>
      </c>
      <c r="I44" s="5">
        <f>I11*I11</f>
        <v>25</v>
      </c>
      <c r="J44" s="5"/>
      <c r="K44" s="5"/>
      <c r="L44" s="5"/>
      <c r="M44" s="3">
        <f>M11*M11</f>
        <v>1156</v>
      </c>
    </row>
    <row r="45" spans="2:24" x14ac:dyDescent="0.3">
      <c r="B45" s="9">
        <v>10</v>
      </c>
      <c r="C45" s="5">
        <f>C12*C12</f>
        <v>16</v>
      </c>
      <c r="D45" s="5">
        <f>D12*D12</f>
        <v>16</v>
      </c>
      <c r="E45" s="5">
        <f>E12*E12</f>
        <v>25</v>
      </c>
      <c r="F45" s="5">
        <f>F12*F12</f>
        <v>25</v>
      </c>
      <c r="G45" s="5">
        <f>G12*G12</f>
        <v>25</v>
      </c>
      <c r="H45" s="5">
        <f>H12*H12</f>
        <v>16</v>
      </c>
      <c r="I45" s="5">
        <f>I12*I12</f>
        <v>9</v>
      </c>
      <c r="J45" s="5"/>
      <c r="K45" s="5"/>
      <c r="L45" s="5"/>
      <c r="M45" s="3">
        <f>M12*M12</f>
        <v>900</v>
      </c>
    </row>
    <row r="46" spans="2:24" x14ac:dyDescent="0.3">
      <c r="B46" s="6" t="s">
        <v>8</v>
      </c>
      <c r="C46" s="5">
        <f>SUM(C36:C45)</f>
        <v>159</v>
      </c>
      <c r="D46" s="5">
        <f t="shared" ref="D46:H46" si="3">SUM(D36:D45)</f>
        <v>146</v>
      </c>
      <c r="E46" s="5">
        <f t="shared" si="3"/>
        <v>128</v>
      </c>
      <c r="F46" s="5">
        <f t="shared" si="3"/>
        <v>146</v>
      </c>
      <c r="G46" s="5">
        <f t="shared" si="3"/>
        <v>147</v>
      </c>
      <c r="H46" s="5">
        <f t="shared" si="3"/>
        <v>165</v>
      </c>
      <c r="I46" s="5">
        <f>SUM(I36:I45)</f>
        <v>154</v>
      </c>
      <c r="J46" s="5"/>
      <c r="K46" s="5"/>
      <c r="L46" s="5"/>
      <c r="M46" s="3">
        <f>SUM(M36:M45)</f>
        <v>7105</v>
      </c>
    </row>
    <row r="48" spans="2:24" x14ac:dyDescent="0.3">
      <c r="B48" s="22" t="s">
        <v>13</v>
      </c>
      <c r="C48" s="18" t="s">
        <v>14</v>
      </c>
      <c r="D48" s="18"/>
      <c r="E48" s="18"/>
      <c r="F48" s="18"/>
      <c r="G48" s="18"/>
      <c r="H48" s="18"/>
      <c r="I48" s="18"/>
      <c r="J48" s="23"/>
      <c r="K48" s="23"/>
      <c r="L48" s="23"/>
      <c r="N48" s="17" t="s">
        <v>44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2:24" x14ac:dyDescent="0.3">
      <c r="B49" s="22"/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24"/>
      <c r="K49" s="24"/>
      <c r="L49" s="24"/>
      <c r="N49" s="11" t="s">
        <v>13</v>
      </c>
      <c r="O49" s="11" t="s">
        <v>26</v>
      </c>
      <c r="P49" s="11" t="s">
        <v>27</v>
      </c>
      <c r="Q49" s="11" t="s">
        <v>28</v>
      </c>
      <c r="R49" s="11" t="s">
        <v>29</v>
      </c>
      <c r="S49" s="11" t="s">
        <v>30</v>
      </c>
      <c r="T49" s="11" t="s">
        <v>31</v>
      </c>
      <c r="U49" s="11" t="s">
        <v>32</v>
      </c>
      <c r="V49" s="11" t="s">
        <v>33</v>
      </c>
      <c r="W49" s="11" t="s">
        <v>34</v>
      </c>
      <c r="X49" s="11" t="s">
        <v>35</v>
      </c>
    </row>
    <row r="50" spans="2:24" x14ac:dyDescent="0.3">
      <c r="B50" s="3" t="s">
        <v>17</v>
      </c>
      <c r="C50" s="5">
        <v>10</v>
      </c>
      <c r="D50" s="5">
        <v>10</v>
      </c>
      <c r="E50" s="5">
        <v>10</v>
      </c>
      <c r="F50" s="5">
        <v>10</v>
      </c>
      <c r="G50" s="5">
        <v>10</v>
      </c>
      <c r="H50" s="5">
        <v>10</v>
      </c>
      <c r="I50" s="5">
        <v>10</v>
      </c>
      <c r="J50" s="25"/>
      <c r="K50" s="25"/>
      <c r="L50" s="25"/>
      <c r="N50" s="11" t="s">
        <v>17</v>
      </c>
      <c r="O50" s="5">
        <v>15</v>
      </c>
      <c r="P50" s="5">
        <v>15</v>
      </c>
      <c r="Q50" s="5">
        <v>15</v>
      </c>
      <c r="R50" s="5">
        <v>15</v>
      </c>
      <c r="S50" s="5">
        <v>15</v>
      </c>
      <c r="T50" s="5">
        <v>15</v>
      </c>
      <c r="U50" s="5">
        <v>15</v>
      </c>
      <c r="V50" s="5">
        <v>15</v>
      </c>
      <c r="W50" s="5">
        <v>15</v>
      </c>
      <c r="X50" s="5">
        <v>15</v>
      </c>
    </row>
    <row r="51" spans="2:24" x14ac:dyDescent="0.3">
      <c r="B51" s="3" t="s">
        <v>16</v>
      </c>
      <c r="C51" s="5">
        <f>C13</f>
        <v>37</v>
      </c>
      <c r="D51" s="5">
        <f t="shared" ref="D51:I51" si="4">D13</f>
        <v>36</v>
      </c>
      <c r="E51" s="5">
        <f t="shared" si="4"/>
        <v>34</v>
      </c>
      <c r="F51" s="5">
        <f t="shared" si="4"/>
        <v>36</v>
      </c>
      <c r="G51" s="5">
        <f t="shared" si="4"/>
        <v>37</v>
      </c>
      <c r="H51" s="5">
        <f t="shared" si="4"/>
        <v>39</v>
      </c>
      <c r="I51" s="5">
        <f t="shared" si="4"/>
        <v>38</v>
      </c>
      <c r="J51" s="25"/>
      <c r="K51" s="25"/>
      <c r="L51" s="25"/>
      <c r="N51" s="11" t="s">
        <v>36</v>
      </c>
      <c r="O51" s="5">
        <v>44</v>
      </c>
      <c r="P51" s="5">
        <v>45</v>
      </c>
      <c r="Q51" s="5">
        <v>43</v>
      </c>
      <c r="R51" s="5">
        <v>48</v>
      </c>
      <c r="S51" s="5">
        <v>49</v>
      </c>
      <c r="T51" s="5">
        <v>45</v>
      </c>
      <c r="U51" s="5">
        <v>44</v>
      </c>
      <c r="V51" s="5">
        <v>43</v>
      </c>
      <c r="W51" s="5">
        <v>49</v>
      </c>
      <c r="X51" s="5">
        <v>48</v>
      </c>
    </row>
    <row r="52" spans="2:24" x14ac:dyDescent="0.3">
      <c r="B52" s="3" t="s">
        <v>15</v>
      </c>
      <c r="C52" s="5">
        <f>$M$13</f>
        <v>257</v>
      </c>
      <c r="D52" s="5">
        <f t="shared" ref="D52:I52" si="5">$M$13</f>
        <v>257</v>
      </c>
      <c r="E52" s="5">
        <f t="shared" si="5"/>
        <v>257</v>
      </c>
      <c r="F52" s="5">
        <f t="shared" si="5"/>
        <v>257</v>
      </c>
      <c r="G52" s="5">
        <f t="shared" si="5"/>
        <v>257</v>
      </c>
      <c r="H52" s="5">
        <f t="shared" si="5"/>
        <v>257</v>
      </c>
      <c r="I52" s="5">
        <f t="shared" si="5"/>
        <v>257</v>
      </c>
      <c r="J52" s="25"/>
      <c r="K52" s="25"/>
      <c r="L52" s="25"/>
      <c r="N52" s="11" t="s">
        <v>37</v>
      </c>
      <c r="O52" s="5">
        <v>458</v>
      </c>
      <c r="P52" s="5">
        <v>458</v>
      </c>
      <c r="Q52" s="5">
        <v>458</v>
      </c>
      <c r="R52" s="5">
        <v>458</v>
      </c>
      <c r="S52" s="5">
        <v>458</v>
      </c>
      <c r="T52" s="5">
        <v>458</v>
      </c>
      <c r="U52" s="5">
        <v>458</v>
      </c>
      <c r="V52" s="5">
        <v>458</v>
      </c>
      <c r="W52" s="5">
        <v>458</v>
      </c>
      <c r="X52" s="5">
        <v>458</v>
      </c>
    </row>
    <row r="53" spans="2:24" x14ac:dyDescent="0.3">
      <c r="B53" s="3" t="s">
        <v>18</v>
      </c>
      <c r="C53" s="5">
        <f>C31</f>
        <v>1048</v>
      </c>
      <c r="D53" s="5">
        <f t="shared" ref="D53:I53" si="6">D31</f>
        <v>1005</v>
      </c>
      <c r="E53" s="5">
        <f t="shared" si="6"/>
        <v>936</v>
      </c>
      <c r="F53" s="5">
        <f t="shared" si="6"/>
        <v>1010</v>
      </c>
      <c r="G53" s="5">
        <f t="shared" si="6"/>
        <v>1012</v>
      </c>
      <c r="H53" s="5">
        <f t="shared" si="6"/>
        <v>1071</v>
      </c>
      <c r="I53" s="5">
        <f t="shared" si="6"/>
        <v>1023</v>
      </c>
      <c r="J53" s="25"/>
      <c r="K53" s="25"/>
      <c r="L53" s="25"/>
      <c r="N53" s="11" t="s">
        <v>38</v>
      </c>
      <c r="O53" s="5">
        <v>1377</v>
      </c>
      <c r="P53" s="5">
        <v>1415</v>
      </c>
      <c r="Q53" s="5">
        <v>1372</v>
      </c>
      <c r="R53" s="5">
        <v>1516</v>
      </c>
      <c r="S53" s="5">
        <v>1528</v>
      </c>
      <c r="T53" s="5">
        <v>1434</v>
      </c>
      <c r="U53" s="5">
        <v>1404</v>
      </c>
      <c r="V53" s="5">
        <v>1360</v>
      </c>
      <c r="W53" s="5">
        <v>1507</v>
      </c>
      <c r="X53" s="5">
        <v>1469</v>
      </c>
    </row>
    <row r="54" spans="2:24" x14ac:dyDescent="0.3">
      <c r="B54" s="3" t="s">
        <v>20</v>
      </c>
      <c r="C54" s="5">
        <f>C46</f>
        <v>159</v>
      </c>
      <c r="D54" s="5">
        <f t="shared" ref="D54:I54" si="7">D46</f>
        <v>146</v>
      </c>
      <c r="E54" s="5">
        <f t="shared" si="7"/>
        <v>128</v>
      </c>
      <c r="F54" s="5">
        <f t="shared" si="7"/>
        <v>146</v>
      </c>
      <c r="G54" s="5">
        <f t="shared" si="7"/>
        <v>147</v>
      </c>
      <c r="H54" s="5">
        <f t="shared" si="7"/>
        <v>165</v>
      </c>
      <c r="I54" s="5">
        <f t="shared" si="7"/>
        <v>154</v>
      </c>
      <c r="J54" s="25"/>
      <c r="K54" s="25"/>
      <c r="L54" s="25"/>
      <c r="N54" s="11" t="s">
        <v>39</v>
      </c>
      <c r="O54" s="5">
        <v>140</v>
      </c>
      <c r="P54" s="5">
        <v>145</v>
      </c>
      <c r="Q54" s="5">
        <v>135</v>
      </c>
      <c r="R54" s="5">
        <v>166</v>
      </c>
      <c r="S54" s="5">
        <v>167</v>
      </c>
      <c r="T54" s="5">
        <v>149</v>
      </c>
      <c r="U54" s="5">
        <v>146</v>
      </c>
      <c r="V54" s="5">
        <v>137</v>
      </c>
      <c r="W54" s="5">
        <v>165</v>
      </c>
      <c r="X54" s="5">
        <v>160</v>
      </c>
    </row>
    <row r="55" spans="2:24" x14ac:dyDescent="0.3">
      <c r="B55" s="3" t="s">
        <v>21</v>
      </c>
      <c r="C55" s="5">
        <f>$M$46</f>
        <v>7105</v>
      </c>
      <c r="D55" s="5">
        <f t="shared" ref="D55:I55" si="8">$M$46</f>
        <v>7105</v>
      </c>
      <c r="E55" s="5">
        <f t="shared" si="8"/>
        <v>7105</v>
      </c>
      <c r="F55" s="5">
        <f t="shared" si="8"/>
        <v>7105</v>
      </c>
      <c r="G55" s="5">
        <f t="shared" si="8"/>
        <v>7105</v>
      </c>
      <c r="H55" s="5">
        <f t="shared" si="8"/>
        <v>7105</v>
      </c>
      <c r="I55" s="5">
        <f t="shared" si="8"/>
        <v>7105</v>
      </c>
      <c r="J55" s="25"/>
      <c r="K55" s="25"/>
      <c r="L55" s="25"/>
      <c r="N55" s="11" t="s">
        <v>40</v>
      </c>
      <c r="O55" s="5">
        <v>14382</v>
      </c>
      <c r="P55" s="5">
        <v>14382</v>
      </c>
      <c r="Q55" s="5">
        <v>14382</v>
      </c>
      <c r="R55" s="5">
        <v>14382</v>
      </c>
      <c r="S55" s="5">
        <v>14382</v>
      </c>
      <c r="T55" s="5">
        <v>14382</v>
      </c>
      <c r="U55" s="5">
        <v>14382</v>
      </c>
      <c r="V55" s="5">
        <v>14382</v>
      </c>
      <c r="W55" s="5">
        <v>14382</v>
      </c>
      <c r="X55" s="5">
        <v>14382</v>
      </c>
    </row>
    <row r="56" spans="2:24" x14ac:dyDescent="0.3">
      <c r="B56" s="3" t="s">
        <v>22</v>
      </c>
      <c r="C56" s="5">
        <f>C14</f>
        <v>1369</v>
      </c>
      <c r="D56" s="5">
        <f t="shared" ref="D56:I56" si="9">D14</f>
        <v>1296</v>
      </c>
      <c r="E56" s="5">
        <f t="shared" si="9"/>
        <v>1156</v>
      </c>
      <c r="F56" s="5">
        <f t="shared" si="9"/>
        <v>1296</v>
      </c>
      <c r="G56" s="5">
        <f t="shared" si="9"/>
        <v>1369</v>
      </c>
      <c r="H56" s="5">
        <f t="shared" si="9"/>
        <v>1521</v>
      </c>
      <c r="I56" s="5">
        <f t="shared" si="9"/>
        <v>1444</v>
      </c>
      <c r="J56" s="25"/>
      <c r="K56" s="25"/>
      <c r="L56" s="25"/>
      <c r="N56" s="11" t="s">
        <v>41</v>
      </c>
      <c r="O56" s="5">
        <v>1936</v>
      </c>
      <c r="P56" s="5">
        <v>2025</v>
      </c>
      <c r="Q56" s="5">
        <v>1849</v>
      </c>
      <c r="R56" s="5">
        <v>2304</v>
      </c>
      <c r="S56" s="5">
        <v>2401</v>
      </c>
      <c r="T56" s="5">
        <v>2025</v>
      </c>
      <c r="U56" s="5">
        <v>1936</v>
      </c>
      <c r="V56" s="5">
        <v>1849</v>
      </c>
      <c r="W56" s="5">
        <v>2401</v>
      </c>
      <c r="X56" s="5">
        <v>2304</v>
      </c>
    </row>
    <row r="57" spans="2:24" x14ac:dyDescent="0.3">
      <c r="B57" s="3" t="s">
        <v>23</v>
      </c>
      <c r="C57" s="5">
        <f>$M$14</f>
        <v>66049</v>
      </c>
      <c r="D57" s="5">
        <f t="shared" ref="D57:I57" si="10">$M$14</f>
        <v>66049</v>
      </c>
      <c r="E57" s="5">
        <f t="shared" si="10"/>
        <v>66049</v>
      </c>
      <c r="F57" s="5">
        <f t="shared" si="10"/>
        <v>66049</v>
      </c>
      <c r="G57" s="5">
        <f t="shared" si="10"/>
        <v>66049</v>
      </c>
      <c r="H57" s="5">
        <f t="shared" si="10"/>
        <v>66049</v>
      </c>
      <c r="I57" s="5">
        <f t="shared" si="10"/>
        <v>66049</v>
      </c>
      <c r="J57" s="25"/>
      <c r="K57" s="25"/>
      <c r="L57" s="25"/>
      <c r="N57" s="11" t="s">
        <v>42</v>
      </c>
      <c r="O57" s="5">
        <v>209764</v>
      </c>
      <c r="P57" s="5">
        <v>209764</v>
      </c>
      <c r="Q57" s="5">
        <v>209764</v>
      </c>
      <c r="R57" s="5">
        <v>209764</v>
      </c>
      <c r="S57" s="5">
        <v>209764</v>
      </c>
      <c r="T57" s="5">
        <v>209764</v>
      </c>
      <c r="U57" s="5">
        <v>209764</v>
      </c>
      <c r="V57" s="5">
        <v>209764</v>
      </c>
      <c r="W57" s="5">
        <v>209764</v>
      </c>
      <c r="X57" s="5">
        <v>209764</v>
      </c>
    </row>
    <row r="58" spans="2:24" x14ac:dyDescent="0.3">
      <c r="B58" s="12" t="s">
        <v>24</v>
      </c>
      <c r="C58" s="12">
        <f>(C50*C53)-(C51*C52)</f>
        <v>971</v>
      </c>
      <c r="D58" s="12">
        <f t="shared" ref="D58:I58" si="11">(D50*D53)-(D51*D52)</f>
        <v>798</v>
      </c>
      <c r="E58" s="12">
        <f t="shared" si="11"/>
        <v>622</v>
      </c>
      <c r="F58" s="12">
        <f t="shared" si="11"/>
        <v>848</v>
      </c>
      <c r="G58" s="12">
        <f t="shared" si="11"/>
        <v>611</v>
      </c>
      <c r="H58" s="12">
        <f t="shared" si="11"/>
        <v>687</v>
      </c>
      <c r="I58" s="12">
        <f t="shared" si="11"/>
        <v>464</v>
      </c>
      <c r="J58" s="26"/>
      <c r="K58" s="26"/>
      <c r="L58" s="26"/>
      <c r="N58" s="10" t="s">
        <v>24</v>
      </c>
      <c r="O58" s="10">
        <f>(O50*O53)-(O51*O52)</f>
        <v>503</v>
      </c>
      <c r="P58" s="10">
        <f t="shared" ref="P58:X58" si="12">(P50*P53)-(P51*P52)</f>
        <v>615</v>
      </c>
      <c r="Q58" s="10">
        <f t="shared" si="12"/>
        <v>886</v>
      </c>
      <c r="R58" s="10">
        <f t="shared" si="12"/>
        <v>756</v>
      </c>
      <c r="S58" s="10">
        <f t="shared" si="12"/>
        <v>478</v>
      </c>
      <c r="T58" s="10">
        <f t="shared" si="12"/>
        <v>900</v>
      </c>
      <c r="U58" s="10">
        <f t="shared" si="12"/>
        <v>908</v>
      </c>
      <c r="V58" s="10">
        <f t="shared" si="12"/>
        <v>706</v>
      </c>
      <c r="W58" s="10">
        <f t="shared" si="12"/>
        <v>163</v>
      </c>
      <c r="X58" s="10">
        <f t="shared" si="12"/>
        <v>51</v>
      </c>
    </row>
    <row r="59" spans="2:24" x14ac:dyDescent="0.3">
      <c r="B59" s="12" t="s">
        <v>25</v>
      </c>
      <c r="C59" s="12">
        <f>SQRT(((C50*C54)-C51^2)*((C50*C55)-C52^2))</f>
        <v>1051.2949158062165</v>
      </c>
      <c r="D59" s="12">
        <f t="shared" ref="D59:I59" si="13">SQRT(((D50*D54)-D51^2)*((D50*D55)-D52^2))</f>
        <v>905.62906313788324</v>
      </c>
      <c r="E59" s="12">
        <f t="shared" si="13"/>
        <v>787.47952354331096</v>
      </c>
      <c r="F59" s="12">
        <f t="shared" si="13"/>
        <v>905.62906313788324</v>
      </c>
      <c r="G59" s="12">
        <f t="shared" si="13"/>
        <v>710.70457997680023</v>
      </c>
      <c r="H59" s="12">
        <f t="shared" si="13"/>
        <v>803.19922808727847</v>
      </c>
      <c r="I59" s="12">
        <f t="shared" si="13"/>
        <v>692.88960159609837</v>
      </c>
      <c r="J59" s="26"/>
      <c r="K59" s="26"/>
      <c r="L59" s="26"/>
      <c r="N59" s="10" t="s">
        <v>25</v>
      </c>
      <c r="O59" s="10">
        <f>SQRT(((O50*O54)-O51^2)*((O50*O55)-O52^2))</f>
        <v>989.15317317390236</v>
      </c>
      <c r="P59" s="10">
        <f t="shared" ref="P59:X59" si="14">SQRT(((P50*P54)-P51^2)*((P50*P55)-P52^2))</f>
        <v>945.99154330258159</v>
      </c>
      <c r="Q59" s="10">
        <f t="shared" si="14"/>
        <v>1024.702883766802</v>
      </c>
      <c r="R59" s="10">
        <f t="shared" si="14"/>
        <v>1053.4116004677373</v>
      </c>
      <c r="S59" s="10">
        <f t="shared" si="14"/>
        <v>787.69537259019114</v>
      </c>
      <c r="T59" s="10">
        <f t="shared" si="14"/>
        <v>1119.3122888631215</v>
      </c>
      <c r="U59" s="10">
        <f t="shared" si="14"/>
        <v>1231.0012185209241</v>
      </c>
      <c r="V59" s="10">
        <f t="shared" si="14"/>
        <v>1108.6009200789977</v>
      </c>
      <c r="W59" s="10">
        <f t="shared" si="14"/>
        <v>664.44262355751982</v>
      </c>
      <c r="X59" s="10">
        <f t="shared" si="14"/>
        <v>756.79323464206527</v>
      </c>
    </row>
    <row r="60" spans="2:24" x14ac:dyDescent="0.3">
      <c r="B60" s="3" t="s">
        <v>45</v>
      </c>
      <c r="C60" s="5">
        <f>C58/C59</f>
        <v>0.92362284398128192</v>
      </c>
      <c r="D60" s="5">
        <f t="shared" ref="D60:I60" si="15">D58/D59</f>
        <v>0.88115546693591862</v>
      </c>
      <c r="E60" s="5">
        <f t="shared" si="15"/>
        <v>0.78986180770932812</v>
      </c>
      <c r="F60" s="5">
        <f t="shared" si="15"/>
        <v>0.93636570922513651</v>
      </c>
      <c r="G60" s="5">
        <f t="shared" si="15"/>
        <v>0.8597102329352444</v>
      </c>
      <c r="H60" s="5">
        <f t="shared" si="15"/>
        <v>0.85532950727057744</v>
      </c>
      <c r="I60" s="5">
        <f t="shared" si="15"/>
        <v>0.66965934967296059</v>
      </c>
      <c r="J60" s="25"/>
      <c r="K60" s="25"/>
      <c r="L60" s="25"/>
      <c r="N60" s="5" t="s">
        <v>43</v>
      </c>
      <c r="O60" s="5">
        <f>O58/O59</f>
        <v>0.50851578263255282</v>
      </c>
      <c r="P60" s="5">
        <f t="shared" ref="P60:X60" si="16">P58/P59</f>
        <v>0.650111519869357</v>
      </c>
      <c r="Q60" s="5">
        <f t="shared" si="16"/>
        <v>0.8646408769174817</v>
      </c>
      <c r="R60" s="5">
        <f t="shared" si="16"/>
        <v>0.71766819319658126</v>
      </c>
      <c r="S60" s="5">
        <f t="shared" si="16"/>
        <v>0.60683357632048163</v>
      </c>
      <c r="T60" s="5">
        <f t="shared" si="16"/>
        <v>0.80406514692528253</v>
      </c>
      <c r="U60" s="5">
        <f t="shared" si="16"/>
        <v>0.73761096767311296</v>
      </c>
      <c r="V60" s="5">
        <f t="shared" si="16"/>
        <v>0.6368387281779373</v>
      </c>
      <c r="W60" s="5">
        <f t="shared" si="16"/>
        <v>0.24531839803905856</v>
      </c>
      <c r="X60" s="5">
        <f t="shared" si="16"/>
        <v>6.7389608766945552E-2</v>
      </c>
    </row>
    <row r="64" spans="2:24" ht="43.2" x14ac:dyDescent="0.3">
      <c r="N64" t="s">
        <v>47</v>
      </c>
      <c r="R64" s="16" t="s">
        <v>14</v>
      </c>
      <c r="S64" s="16" t="s">
        <v>43</v>
      </c>
      <c r="T64" s="16" t="str">
        <f>"Hubungan dengan r table "&amp;N66</f>
        <v>Hubungan dengan r table 0.707</v>
      </c>
      <c r="U64" s="16" t="s">
        <v>46</v>
      </c>
    </row>
    <row r="65" spans="14:21" x14ac:dyDescent="0.3">
      <c r="N65" s="13" t="s">
        <v>48</v>
      </c>
      <c r="R65" s="3">
        <v>1</v>
      </c>
      <c r="S65" s="5">
        <f>C60</f>
        <v>0.92362284398128192</v>
      </c>
      <c r="T65" s="5" t="str">
        <f>IF(S65&gt;=$N$66,"lebih dari","kurang dari")</f>
        <v>lebih dari</v>
      </c>
      <c r="U65" s="5" t="str">
        <f>IF(S65&gt;=$N$66,"valid","tidak")</f>
        <v>valid</v>
      </c>
    </row>
    <row r="66" spans="14:21" x14ac:dyDescent="0.3">
      <c r="N66" s="14">
        <f>0.707</f>
        <v>0.70699999999999996</v>
      </c>
      <c r="R66" s="3">
        <v>2</v>
      </c>
      <c r="S66" s="5">
        <f>D60</f>
        <v>0.88115546693591862</v>
      </c>
      <c r="T66" s="5" t="str">
        <f t="shared" ref="T66:T71" si="17">IF(S66&gt;=$N$66,"lebih dari","kurang dari")</f>
        <v>lebih dari</v>
      </c>
      <c r="U66" s="5" t="str">
        <f t="shared" ref="U66:U71" si="18">IF(S66&gt;=$N$66,"valid","tidak")</f>
        <v>valid</v>
      </c>
    </row>
    <row r="67" spans="14:21" x14ac:dyDescent="0.3">
      <c r="R67" s="3">
        <v>3</v>
      </c>
      <c r="S67" s="5">
        <f>E60</f>
        <v>0.78986180770932812</v>
      </c>
      <c r="T67" s="5" t="str">
        <f t="shared" si="17"/>
        <v>lebih dari</v>
      </c>
      <c r="U67" s="5" t="str">
        <f t="shared" si="18"/>
        <v>valid</v>
      </c>
    </row>
    <row r="68" spans="14:21" x14ac:dyDescent="0.3">
      <c r="R68" s="3">
        <v>4</v>
      </c>
      <c r="S68" s="5">
        <f>F60</f>
        <v>0.93636570922513651</v>
      </c>
      <c r="T68" s="5" t="str">
        <f t="shared" si="17"/>
        <v>lebih dari</v>
      </c>
      <c r="U68" s="5" t="str">
        <f t="shared" si="18"/>
        <v>valid</v>
      </c>
    </row>
    <row r="69" spans="14:21" x14ac:dyDescent="0.3">
      <c r="R69" s="3">
        <v>5</v>
      </c>
      <c r="S69" s="5">
        <f>G60</f>
        <v>0.8597102329352444</v>
      </c>
      <c r="T69" s="5" t="str">
        <f t="shared" si="17"/>
        <v>lebih dari</v>
      </c>
      <c r="U69" s="5" t="str">
        <f t="shared" si="18"/>
        <v>valid</v>
      </c>
    </row>
    <row r="70" spans="14:21" x14ac:dyDescent="0.3">
      <c r="R70" s="3">
        <v>6</v>
      </c>
      <c r="S70" s="5">
        <f>H60</f>
        <v>0.85532950727057744</v>
      </c>
      <c r="T70" s="5" t="str">
        <f t="shared" si="17"/>
        <v>lebih dari</v>
      </c>
      <c r="U70" s="5" t="str">
        <f t="shared" si="18"/>
        <v>valid</v>
      </c>
    </row>
    <row r="71" spans="14:21" x14ac:dyDescent="0.3">
      <c r="R71" s="3">
        <v>7</v>
      </c>
      <c r="S71" s="5">
        <f>I60</f>
        <v>0.66965934967296059</v>
      </c>
      <c r="T71" s="5" t="str">
        <f t="shared" si="17"/>
        <v>kurang dari</v>
      </c>
      <c r="U71" s="5" t="str">
        <f t="shared" si="18"/>
        <v>tidak</v>
      </c>
    </row>
    <row r="73" spans="14:21" x14ac:dyDescent="0.3">
      <c r="R73" s="15" t="str">
        <f>"Jadi kesimpulan nya ada "&amp;(COUNTIF(U65:U71,"valid"))&amp;" valid dan "&amp;(COUNTIF(U65:U71,"tidak"))&amp;" tidak valid"</f>
        <v>Jadi kesimpulan nya ada 6 valid dan 1 tidak valid</v>
      </c>
    </row>
  </sheetData>
  <mergeCells count="8">
    <mergeCell ref="N48:X48"/>
    <mergeCell ref="B19:B20"/>
    <mergeCell ref="C19:I19"/>
    <mergeCell ref="B34:B35"/>
    <mergeCell ref="C34:I34"/>
    <mergeCell ref="M34:M35"/>
    <mergeCell ref="B48:B49"/>
    <mergeCell ref="C48:I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2025-11-09T02:25:06Z</dcterms:created>
  <dcterms:modified xsi:type="dcterms:W3CDTF">2025-11-26T05:44:05Z</dcterms:modified>
</cp:coreProperties>
</file>