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uliah\Statistik\"/>
    </mc:Choice>
  </mc:AlternateContent>
  <bookViews>
    <workbookView xWindow="0" yWindow="0" windowWidth="17676" windowHeight="119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1" i="1" l="1"/>
  <c r="O73" i="1"/>
  <c r="C47" i="1"/>
  <c r="D47" i="1"/>
  <c r="E47" i="1"/>
  <c r="F47" i="1"/>
  <c r="G47" i="1"/>
  <c r="H47" i="1"/>
  <c r="I47" i="1"/>
  <c r="J47" i="1"/>
  <c r="K47" i="1"/>
  <c r="L47" i="1"/>
  <c r="C48" i="1"/>
  <c r="D48" i="1"/>
  <c r="E48" i="1"/>
  <c r="F48" i="1"/>
  <c r="G48" i="1"/>
  <c r="H48" i="1"/>
  <c r="I48" i="1"/>
  <c r="J48" i="1"/>
  <c r="K48" i="1"/>
  <c r="L48" i="1"/>
  <c r="C49" i="1"/>
  <c r="D49" i="1"/>
  <c r="E49" i="1"/>
  <c r="F49" i="1"/>
  <c r="G49" i="1"/>
  <c r="H49" i="1"/>
  <c r="I49" i="1"/>
  <c r="J49" i="1"/>
  <c r="K49" i="1"/>
  <c r="L49" i="1"/>
  <c r="C50" i="1"/>
  <c r="D50" i="1"/>
  <c r="E50" i="1"/>
  <c r="F50" i="1"/>
  <c r="G50" i="1"/>
  <c r="H50" i="1"/>
  <c r="I50" i="1"/>
  <c r="J50" i="1"/>
  <c r="K50" i="1"/>
  <c r="L50" i="1"/>
  <c r="C51" i="1"/>
  <c r="D51" i="1"/>
  <c r="E51" i="1"/>
  <c r="F51" i="1"/>
  <c r="G51" i="1"/>
  <c r="H51" i="1"/>
  <c r="I51" i="1"/>
  <c r="J51" i="1"/>
  <c r="K51" i="1"/>
  <c r="L51" i="1"/>
  <c r="C52" i="1"/>
  <c r="D52" i="1"/>
  <c r="E52" i="1"/>
  <c r="F52" i="1"/>
  <c r="G52" i="1"/>
  <c r="H52" i="1"/>
  <c r="I52" i="1"/>
  <c r="J52" i="1"/>
  <c r="K52" i="1"/>
  <c r="L52" i="1"/>
  <c r="C53" i="1"/>
  <c r="D53" i="1"/>
  <c r="E53" i="1"/>
  <c r="F53" i="1"/>
  <c r="G53" i="1"/>
  <c r="H53" i="1"/>
  <c r="I53" i="1"/>
  <c r="J53" i="1"/>
  <c r="K53" i="1"/>
  <c r="L53" i="1"/>
  <c r="C54" i="1"/>
  <c r="D54" i="1"/>
  <c r="E54" i="1"/>
  <c r="F54" i="1"/>
  <c r="G54" i="1"/>
  <c r="H54" i="1"/>
  <c r="I54" i="1"/>
  <c r="J54" i="1"/>
  <c r="K54" i="1"/>
  <c r="L54" i="1"/>
  <c r="C55" i="1"/>
  <c r="D55" i="1"/>
  <c r="E55" i="1"/>
  <c r="F55" i="1"/>
  <c r="G55" i="1"/>
  <c r="H55" i="1"/>
  <c r="I55" i="1"/>
  <c r="J55" i="1"/>
  <c r="K55" i="1"/>
  <c r="L55" i="1"/>
  <c r="C56" i="1"/>
  <c r="D56" i="1"/>
  <c r="E56" i="1"/>
  <c r="F56" i="1"/>
  <c r="G56" i="1"/>
  <c r="H56" i="1"/>
  <c r="I56" i="1"/>
  <c r="J56" i="1"/>
  <c r="K56" i="1"/>
  <c r="L56" i="1"/>
  <c r="C57" i="1"/>
  <c r="D57" i="1"/>
  <c r="E57" i="1"/>
  <c r="F57" i="1"/>
  <c r="G57" i="1"/>
  <c r="H57" i="1"/>
  <c r="I57" i="1"/>
  <c r="J57" i="1"/>
  <c r="K57" i="1"/>
  <c r="L57" i="1"/>
  <c r="C58" i="1"/>
  <c r="D58" i="1"/>
  <c r="E58" i="1"/>
  <c r="F58" i="1"/>
  <c r="G58" i="1"/>
  <c r="H58" i="1"/>
  <c r="I58" i="1"/>
  <c r="J58" i="1"/>
  <c r="K58" i="1"/>
  <c r="L58" i="1"/>
  <c r="C59" i="1"/>
  <c r="D59" i="1"/>
  <c r="E59" i="1"/>
  <c r="F59" i="1"/>
  <c r="G59" i="1"/>
  <c r="H59" i="1"/>
  <c r="I59" i="1"/>
  <c r="J59" i="1"/>
  <c r="J61" i="1" s="1"/>
  <c r="J69" i="1" s="1"/>
  <c r="K59" i="1"/>
  <c r="L59" i="1"/>
  <c r="C60" i="1"/>
  <c r="D60" i="1"/>
  <c r="E60" i="1"/>
  <c r="F60" i="1"/>
  <c r="G60" i="1"/>
  <c r="H60" i="1"/>
  <c r="I60" i="1"/>
  <c r="J60" i="1"/>
  <c r="K60" i="1"/>
  <c r="L60" i="1"/>
  <c r="J46" i="1"/>
  <c r="K46" i="1"/>
  <c r="L46" i="1"/>
  <c r="E26" i="1"/>
  <c r="F26" i="1"/>
  <c r="G26" i="1"/>
  <c r="H26" i="1"/>
  <c r="I26" i="1"/>
  <c r="J26" i="1"/>
  <c r="K26" i="1"/>
  <c r="L26" i="1"/>
  <c r="L61" i="1" l="1"/>
  <c r="L69" i="1" s="1"/>
  <c r="K61" i="1"/>
  <c r="K69" i="1" s="1"/>
  <c r="M4" i="1"/>
  <c r="M5" i="1"/>
  <c r="M6" i="1"/>
  <c r="M49" i="1" s="1"/>
  <c r="M7" i="1"/>
  <c r="M50" i="1" s="1"/>
  <c r="M8" i="1"/>
  <c r="M51" i="1" s="1"/>
  <c r="M9" i="1"/>
  <c r="M52" i="1" s="1"/>
  <c r="M10" i="1"/>
  <c r="M53" i="1" s="1"/>
  <c r="M11" i="1"/>
  <c r="M54" i="1" s="1"/>
  <c r="M12" i="1"/>
  <c r="M55" i="1" s="1"/>
  <c r="M13" i="1"/>
  <c r="M56" i="1" s="1"/>
  <c r="M14" i="1"/>
  <c r="M57" i="1" s="1"/>
  <c r="M15" i="1"/>
  <c r="M58" i="1" s="1"/>
  <c r="M16" i="1"/>
  <c r="M59" i="1" s="1"/>
  <c r="M17" i="1"/>
  <c r="M60" i="1" s="1"/>
  <c r="J18" i="1"/>
  <c r="K18" i="1"/>
  <c r="L18" i="1"/>
  <c r="L66" i="1" s="1"/>
  <c r="L19" i="1"/>
  <c r="L71" i="1" s="1"/>
  <c r="M3" i="1"/>
  <c r="K19" i="1" l="1"/>
  <c r="K71" i="1" s="1"/>
  <c r="K66" i="1"/>
  <c r="J19" i="1"/>
  <c r="J71" i="1" s="1"/>
  <c r="J66" i="1"/>
  <c r="H39" i="1"/>
  <c r="I39" i="1"/>
  <c r="J39" i="1"/>
  <c r="D39" i="1"/>
  <c r="E39" i="1"/>
  <c r="F39" i="1"/>
  <c r="C39" i="1"/>
  <c r="K39" i="1"/>
  <c r="L39" i="1"/>
  <c r="G39" i="1"/>
  <c r="D37" i="1"/>
  <c r="L37" i="1"/>
  <c r="I37" i="1"/>
  <c r="C37" i="1"/>
  <c r="E37" i="1"/>
  <c r="F37" i="1"/>
  <c r="H37" i="1"/>
  <c r="K37" i="1"/>
  <c r="G37" i="1"/>
  <c r="J37" i="1"/>
  <c r="H35" i="1"/>
  <c r="E35" i="1"/>
  <c r="I35" i="1"/>
  <c r="J35" i="1"/>
  <c r="L35" i="1"/>
  <c r="F35" i="1"/>
  <c r="C35" i="1"/>
  <c r="K35" i="1"/>
  <c r="D35" i="1"/>
  <c r="G35" i="1"/>
  <c r="J38" i="1"/>
  <c r="C38" i="1"/>
  <c r="K38" i="1"/>
  <c r="D38" i="1"/>
  <c r="L38" i="1"/>
  <c r="F38" i="1"/>
  <c r="E38" i="1"/>
  <c r="G38" i="1"/>
  <c r="H38" i="1"/>
  <c r="I38" i="1"/>
  <c r="F36" i="1"/>
  <c r="D36" i="1"/>
  <c r="G36" i="1"/>
  <c r="H36" i="1"/>
  <c r="J36" i="1"/>
  <c r="K36" i="1"/>
  <c r="L36" i="1"/>
  <c r="I36" i="1"/>
  <c r="C36" i="1"/>
  <c r="E36" i="1"/>
  <c r="F40" i="1"/>
  <c r="G40" i="1"/>
  <c r="C40" i="1"/>
  <c r="L40" i="1"/>
  <c r="E40" i="1"/>
  <c r="H40" i="1"/>
  <c r="I40" i="1"/>
  <c r="D40" i="1"/>
  <c r="J40" i="1"/>
  <c r="K40" i="1"/>
  <c r="H28" i="1"/>
  <c r="I28" i="1"/>
  <c r="J28" i="1"/>
  <c r="C28" i="1"/>
  <c r="K28" i="1"/>
  <c r="D28" i="1"/>
  <c r="L28" i="1"/>
  <c r="E28" i="1"/>
  <c r="F28" i="1"/>
  <c r="G28" i="1"/>
  <c r="D34" i="1"/>
  <c r="L34" i="1"/>
  <c r="E34" i="1"/>
  <c r="F34" i="1"/>
  <c r="G34" i="1"/>
  <c r="H34" i="1"/>
  <c r="I34" i="1"/>
  <c r="J34" i="1"/>
  <c r="C34" i="1"/>
  <c r="K34" i="1"/>
  <c r="H32" i="1"/>
  <c r="I32" i="1"/>
  <c r="J32" i="1"/>
  <c r="C32" i="1"/>
  <c r="K32" i="1"/>
  <c r="D32" i="1"/>
  <c r="L32" i="1"/>
  <c r="E32" i="1"/>
  <c r="F32" i="1"/>
  <c r="G32" i="1"/>
  <c r="F33" i="1"/>
  <c r="G33" i="1"/>
  <c r="H33" i="1"/>
  <c r="I33" i="1"/>
  <c r="J33" i="1"/>
  <c r="C33" i="1"/>
  <c r="K33" i="1"/>
  <c r="D33" i="1"/>
  <c r="L33" i="1"/>
  <c r="E33" i="1"/>
  <c r="J31" i="1"/>
  <c r="C31" i="1"/>
  <c r="K31" i="1"/>
  <c r="D31" i="1"/>
  <c r="L31" i="1"/>
  <c r="E31" i="1"/>
  <c r="F31" i="1"/>
  <c r="G31" i="1"/>
  <c r="H31" i="1"/>
  <c r="I31" i="1"/>
  <c r="D30" i="1"/>
  <c r="L30" i="1"/>
  <c r="E30" i="1"/>
  <c r="F30" i="1"/>
  <c r="G30" i="1"/>
  <c r="H30" i="1"/>
  <c r="I30" i="1"/>
  <c r="J30" i="1"/>
  <c r="C30" i="1"/>
  <c r="K30" i="1"/>
  <c r="F29" i="1"/>
  <c r="G29" i="1"/>
  <c r="H29" i="1"/>
  <c r="I29" i="1"/>
  <c r="J29" i="1"/>
  <c r="C29" i="1"/>
  <c r="K29" i="1"/>
  <c r="D29" i="1"/>
  <c r="L29" i="1"/>
  <c r="E29" i="1"/>
  <c r="H27" i="1"/>
  <c r="I27" i="1"/>
  <c r="J27" i="1"/>
  <c r="C27" i="1"/>
  <c r="K27" i="1"/>
  <c r="D27" i="1"/>
  <c r="L27" i="1"/>
  <c r="E27" i="1"/>
  <c r="F27" i="1"/>
  <c r="G27" i="1"/>
  <c r="T79" i="1"/>
  <c r="X75" i="1"/>
  <c r="P75" i="1"/>
  <c r="X74" i="1"/>
  <c r="W74" i="1"/>
  <c r="V74" i="1"/>
  <c r="U74" i="1"/>
  <c r="T74" i="1"/>
  <c r="S74" i="1"/>
  <c r="R74" i="1"/>
  <c r="Q74" i="1"/>
  <c r="Q75" i="1" s="1"/>
  <c r="P74" i="1"/>
  <c r="O74" i="1"/>
  <c r="X73" i="1"/>
  <c r="W73" i="1"/>
  <c r="W75" i="1" s="1"/>
  <c r="V73" i="1"/>
  <c r="V75" i="1" s="1"/>
  <c r="U73" i="1"/>
  <c r="U75" i="1" s="1"/>
  <c r="T73" i="1"/>
  <c r="T75" i="1" s="1"/>
  <c r="S73" i="1"/>
  <c r="R73" i="1"/>
  <c r="Q73" i="1"/>
  <c r="P73" i="1"/>
  <c r="O75" i="1"/>
  <c r="J41" i="1" l="1"/>
  <c r="J68" i="1" s="1"/>
  <c r="K41" i="1"/>
  <c r="K68" i="1" s="1"/>
  <c r="L41" i="1"/>
  <c r="L68" i="1" s="1"/>
  <c r="S75" i="1"/>
  <c r="R75" i="1"/>
  <c r="D46" i="1"/>
  <c r="E46" i="1"/>
  <c r="F46" i="1"/>
  <c r="G46" i="1"/>
  <c r="H46" i="1"/>
  <c r="I46" i="1"/>
  <c r="C46" i="1"/>
  <c r="D18" i="1"/>
  <c r="D66" i="1" s="1"/>
  <c r="E18" i="1"/>
  <c r="E19" i="1" s="1"/>
  <c r="E71" i="1" s="1"/>
  <c r="F18" i="1"/>
  <c r="F19" i="1" s="1"/>
  <c r="F71" i="1" s="1"/>
  <c r="G18" i="1"/>
  <c r="G19" i="1" s="1"/>
  <c r="G71" i="1" s="1"/>
  <c r="H18" i="1"/>
  <c r="H66" i="1" s="1"/>
  <c r="I18" i="1"/>
  <c r="I19" i="1" s="1"/>
  <c r="I71" i="1" s="1"/>
  <c r="C18" i="1"/>
  <c r="C66" i="1" s="1"/>
  <c r="M48" i="1"/>
  <c r="H19" i="1" l="1"/>
  <c r="H71" i="1" s="1"/>
  <c r="C26" i="1"/>
  <c r="M46" i="1"/>
  <c r="D19" i="1"/>
  <c r="D71" i="1" s="1"/>
  <c r="I61" i="1"/>
  <c r="I69" i="1" s="1"/>
  <c r="G61" i="1"/>
  <c r="G69" i="1" s="1"/>
  <c r="H61" i="1"/>
  <c r="H69" i="1" s="1"/>
  <c r="F61" i="1"/>
  <c r="F69" i="1" s="1"/>
  <c r="E61" i="1"/>
  <c r="E69" i="1" s="1"/>
  <c r="C61" i="1"/>
  <c r="C69" i="1" s="1"/>
  <c r="D61" i="1"/>
  <c r="D69" i="1" s="1"/>
  <c r="G66" i="1"/>
  <c r="M18" i="1"/>
  <c r="C19" i="1"/>
  <c r="C71" i="1" s="1"/>
  <c r="M47" i="1"/>
  <c r="I66" i="1"/>
  <c r="F66" i="1"/>
  <c r="E66" i="1"/>
  <c r="D26" i="1"/>
  <c r="L67" i="1" l="1"/>
  <c r="L73" i="1" s="1"/>
  <c r="J67" i="1"/>
  <c r="J73" i="1" s="1"/>
  <c r="C67" i="1"/>
  <c r="K67" i="1"/>
  <c r="K73" i="1" s="1"/>
  <c r="E41" i="1"/>
  <c r="E68" i="1" s="1"/>
  <c r="H41" i="1"/>
  <c r="H68" i="1" s="1"/>
  <c r="F41" i="1"/>
  <c r="F68" i="1" s="1"/>
  <c r="D41" i="1"/>
  <c r="D68" i="1" s="1"/>
  <c r="M61" i="1"/>
  <c r="C41" i="1"/>
  <c r="C68" i="1" s="1"/>
  <c r="I41" i="1"/>
  <c r="I68" i="1" s="1"/>
  <c r="G41" i="1"/>
  <c r="G68" i="1" s="1"/>
  <c r="M19" i="1"/>
  <c r="I67" i="1"/>
  <c r="D67" i="1"/>
  <c r="E67" i="1"/>
  <c r="F67" i="1"/>
  <c r="G67" i="1"/>
  <c r="H67" i="1"/>
  <c r="C73" i="1" l="1"/>
  <c r="C72" i="1"/>
  <c r="D72" i="1"/>
  <c r="L72" i="1"/>
  <c r="E72" i="1"/>
  <c r="K72" i="1"/>
  <c r="F72" i="1"/>
  <c r="G72" i="1"/>
  <c r="J72" i="1"/>
  <c r="H72" i="1"/>
  <c r="I72" i="1"/>
  <c r="J70" i="1"/>
  <c r="J74" i="1" s="1"/>
  <c r="J75" i="1" s="1"/>
  <c r="S87" i="1" s="1"/>
  <c r="I70" i="1"/>
  <c r="I74" i="1" s="1"/>
  <c r="K70" i="1"/>
  <c r="K74" i="1" s="1"/>
  <c r="K75" i="1" s="1"/>
  <c r="S88" i="1" s="1"/>
  <c r="D70" i="1"/>
  <c r="D74" i="1" s="1"/>
  <c r="L70" i="1"/>
  <c r="L74" i="1" s="1"/>
  <c r="L75" i="1" s="1"/>
  <c r="S89" i="1" s="1"/>
  <c r="G70" i="1"/>
  <c r="G74" i="1" s="1"/>
  <c r="H70" i="1"/>
  <c r="H74" i="1" s="1"/>
  <c r="E70" i="1"/>
  <c r="E74" i="1" s="1"/>
  <c r="F70" i="1"/>
  <c r="F74" i="1" s="1"/>
  <c r="I73" i="1"/>
  <c r="E73" i="1"/>
  <c r="G73" i="1"/>
  <c r="D73" i="1"/>
  <c r="F73" i="1"/>
  <c r="H73" i="1"/>
  <c r="C70" i="1"/>
  <c r="U88" i="1" l="1"/>
  <c r="T88" i="1"/>
  <c r="U89" i="1"/>
  <c r="T89" i="1"/>
  <c r="U87" i="1"/>
  <c r="T87" i="1"/>
  <c r="I75" i="1"/>
  <c r="S86" i="1" s="1"/>
  <c r="E75" i="1"/>
  <c r="G75" i="1"/>
  <c r="F75" i="1"/>
  <c r="H75" i="1"/>
  <c r="S85" i="1" s="1"/>
  <c r="D75" i="1"/>
  <c r="S81" i="1" s="1"/>
  <c r="C74" i="1"/>
  <c r="C75" i="1" s="1"/>
  <c r="S80" i="1" s="1"/>
  <c r="S82" i="1" l="1"/>
  <c r="T82" i="1" s="1"/>
  <c r="U86" i="1"/>
  <c r="T86" i="1"/>
  <c r="S83" i="1"/>
  <c r="U83" i="1" s="1"/>
  <c r="S84" i="1"/>
  <c r="T84" i="1" s="1"/>
  <c r="U85" i="1"/>
  <c r="T85" i="1"/>
  <c r="U81" i="1"/>
  <c r="T81" i="1"/>
  <c r="T80" i="1"/>
  <c r="U80" i="1"/>
  <c r="R91" i="1" l="1"/>
  <c r="T83" i="1"/>
  <c r="U84" i="1"/>
  <c r="U82" i="1"/>
</calcChain>
</file>

<file path=xl/sharedStrings.xml><?xml version="1.0" encoding="utf-8"?>
<sst xmlns="http://schemas.openxmlformats.org/spreadsheetml/2006/main" count="77" uniqueCount="67">
  <si>
    <t>Responden</t>
  </si>
  <si>
    <t>Q1</t>
  </si>
  <si>
    <t>Q2</t>
  </si>
  <si>
    <t>Q3</t>
  </si>
  <si>
    <t>Q4</t>
  </si>
  <si>
    <t>Q5</t>
  </si>
  <si>
    <t>Q6</t>
  </si>
  <si>
    <t>Q7</t>
  </si>
  <si>
    <t>Total</t>
  </si>
  <si>
    <t>Total Ei</t>
  </si>
  <si>
    <t>Total (Ei)</t>
  </si>
  <si>
    <t>Subjek</t>
  </si>
  <si>
    <t>skor item ^2</t>
  </si>
  <si>
    <t>Ukur</t>
  </si>
  <si>
    <t>Item</t>
  </si>
  <si>
    <t>Ex</t>
  </si>
  <si>
    <t>Ei</t>
  </si>
  <si>
    <t>n</t>
  </si>
  <si>
    <t>Eix</t>
  </si>
  <si>
    <t>Skor item ix</t>
  </si>
  <si>
    <t>E i^2</t>
  </si>
  <si>
    <t>E x^2</t>
  </si>
  <si>
    <t>(E i)^2</t>
  </si>
  <si>
    <t>(Ex)^2</t>
  </si>
  <si>
    <t>Bantuan 1</t>
  </si>
  <si>
    <t>Bantuan 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</si>
  <si>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</si>
  <si>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</si>
  <si>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</si>
  <si>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</si>
  <si>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</si>
  <si>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</si>
  <si>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</si>
  <si>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</si>
  <si>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</si>
  <si>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</si>
  <si>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Σ i</t>
  </si>
  <si>
    <t>Σ x</t>
  </si>
  <si>
    <t>Σ ix</t>
  </si>
  <si>
    <t>Σ i^2</t>
  </si>
  <si>
    <t>Σ x^2</t>
  </si>
  <si>
    <t>(Σ i)^2</t>
  </si>
  <si>
    <t>(Σ x)^2</t>
  </si>
  <si>
    <t>Kolerasi</t>
  </si>
  <si>
    <t>Data PPT</t>
  </si>
  <si>
    <t>Kolerasi (r -ix)</t>
  </si>
  <si>
    <t>Validasi Item</t>
  </si>
  <si>
    <t>R table = n-2</t>
  </si>
  <si>
    <t>Q8</t>
  </si>
  <si>
    <t>Q9</t>
  </si>
  <si>
    <t>Q10</t>
  </si>
  <si>
    <t>Hidayati S</t>
  </si>
  <si>
    <t>Raja Boy Riwa</t>
  </si>
  <si>
    <t>Rizki Fanriadi</t>
  </si>
  <si>
    <t>Lisa</t>
  </si>
  <si>
    <t xml:space="preserve">Siti </t>
  </si>
  <si>
    <t>Seto</t>
  </si>
  <si>
    <t>Sri Ratna J</t>
  </si>
  <si>
    <t>Rahmayuni</t>
  </si>
  <si>
    <t>M. Aris</t>
  </si>
  <si>
    <t>Novrilla A</t>
  </si>
  <si>
    <t>Kurniawan</t>
  </si>
  <si>
    <t>Ade</t>
  </si>
  <si>
    <t>Afifah N</t>
  </si>
  <si>
    <t>Alisman</t>
  </si>
  <si>
    <t xml:space="preserve">Rajab </t>
  </si>
  <si>
    <t>=15-2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</si>
</sst>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2" tint="-0.249977111117893"/>
      <name val="Calibri"/>
      <family val="2"/>
      <charset val="1"/>
      <scheme val="minor"/>
    </font>
    <font>
      <sz val="11"/>
      <color theme="2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4" borderId="0" applyNumberFormat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 applyAlignment="1">
      <alignment horizontal="center" vertical="center"/>
    </xf>
    <xf numFmtId="0" fontId="4" fillId="0" borderId="1" xfId="0" applyFont="1" applyBorder="1"/>
    <xf numFmtId="0" fontId="1" fillId="2" borderId="1" xfId="1" applyBorder="1"/>
    <xf numFmtId="0" fontId="3" fillId="0" borderId="1" xfId="0" applyFont="1" applyBorder="1"/>
    <xf numFmtId="0" fontId="5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7" fillId="0" borderId="0" xfId="0" quotePrefix="1" applyFont="1"/>
    <xf numFmtId="0" fontId="6" fillId="4" borderId="0" xfId="2" applyAlignment="1">
      <alignment horizontal="left" vertical="top"/>
    </xf>
    <xf numFmtId="0" fontId="1" fillId="2" borderId="3" xfId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327660</xdr:colOff>
      <xdr:row>77</xdr:row>
      <xdr:rowOff>7619</xdr:rowOff>
    </xdr:from>
    <xdr:to>
      <xdr:col>8</xdr:col>
      <xdr:colOff>312420</xdr:colOff>
      <xdr:row>96</xdr:row>
      <xdr:rowOff>29688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311"/>
        <a:stretch/>
      </xdr:blipFill>
      <xdr:spPr>
        <a:xfrm>
          <a:off x="327660" y="11529059"/>
          <a:ext cx="5173980" cy="3862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91"/>
  <sheetViews>
    <sheetView tabSelected="1" topLeftCell="A40" workbookViewId="0">
      <selection activeCell="Q57" sqref="Q57"/>
    </sheetView>
  </sheetViews>
  <sheetFormatPr defaultRowHeight="14.4" x14ac:dyDescent="0.3"/>
  <cols>
    <col min="2" max="2" width="13.44140625" customWidth="1"/>
    <col min="14" max="14" width="11.21875" bestFit="1" customWidth="1"/>
    <col min="16" max="16" width="9.44140625" customWidth="1"/>
    <col min="20" max="20" width="15.21875" customWidth="1"/>
  </cols>
  <sheetData>
    <row r="2" spans="2:13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48</v>
      </c>
      <c r="K2" s="1" t="s">
        <v>49</v>
      </c>
      <c r="L2" s="1" t="s">
        <v>50</v>
      </c>
      <c r="M2" s="1" t="s">
        <v>8</v>
      </c>
    </row>
    <row r="3" spans="2:13" x14ac:dyDescent="0.3">
      <c r="B3" s="2" t="s">
        <v>51</v>
      </c>
      <c r="C3" s="1">
        <v>3</v>
      </c>
      <c r="D3" s="1">
        <v>2</v>
      </c>
      <c r="E3" s="1">
        <v>3</v>
      </c>
      <c r="F3" s="1">
        <v>2</v>
      </c>
      <c r="G3" s="1">
        <v>2</v>
      </c>
      <c r="H3" s="1">
        <v>2</v>
      </c>
      <c r="I3" s="1">
        <v>4</v>
      </c>
      <c r="J3" s="1">
        <v>3</v>
      </c>
      <c r="K3" s="1">
        <v>4</v>
      </c>
      <c r="L3" s="1">
        <v>3</v>
      </c>
      <c r="M3" s="1">
        <f>SUM(C3:L3)</f>
        <v>28</v>
      </c>
    </row>
    <row r="4" spans="2:13" x14ac:dyDescent="0.3">
      <c r="B4" s="2" t="s">
        <v>53</v>
      </c>
      <c r="C4" s="1">
        <v>4</v>
      </c>
      <c r="D4" s="1">
        <v>1</v>
      </c>
      <c r="E4" s="1">
        <v>3</v>
      </c>
      <c r="F4" s="1">
        <v>3</v>
      </c>
      <c r="G4" s="1">
        <v>2</v>
      </c>
      <c r="H4" s="1">
        <v>3</v>
      </c>
      <c r="I4" s="1">
        <v>3</v>
      </c>
      <c r="J4" s="1">
        <v>3</v>
      </c>
      <c r="K4" s="1">
        <v>1</v>
      </c>
      <c r="L4" s="1">
        <v>3</v>
      </c>
      <c r="M4" s="1">
        <f t="shared" ref="M4:M17" si="0">SUM(C4:L4)</f>
        <v>26</v>
      </c>
    </row>
    <row r="5" spans="2:13" x14ac:dyDescent="0.3">
      <c r="B5" s="2" t="s">
        <v>55</v>
      </c>
      <c r="C5" s="1">
        <v>4</v>
      </c>
      <c r="D5" s="1">
        <v>1</v>
      </c>
      <c r="E5" s="1">
        <v>3</v>
      </c>
      <c r="F5" s="1">
        <v>4</v>
      </c>
      <c r="G5" s="1">
        <v>1</v>
      </c>
      <c r="H5" s="1">
        <v>2</v>
      </c>
      <c r="I5" s="1">
        <v>3</v>
      </c>
      <c r="J5" s="1">
        <v>3</v>
      </c>
      <c r="K5" s="1">
        <v>1</v>
      </c>
      <c r="L5" s="1">
        <v>3</v>
      </c>
      <c r="M5" s="1">
        <f t="shared" si="0"/>
        <v>25</v>
      </c>
    </row>
    <row r="6" spans="2:13" x14ac:dyDescent="0.3">
      <c r="B6" s="2" t="s">
        <v>52</v>
      </c>
      <c r="C6" s="1">
        <v>4</v>
      </c>
      <c r="D6" s="1">
        <v>1</v>
      </c>
      <c r="E6" s="1">
        <v>3</v>
      </c>
      <c r="F6" s="1">
        <v>2</v>
      </c>
      <c r="G6" s="1">
        <v>2</v>
      </c>
      <c r="H6" s="1">
        <v>3</v>
      </c>
      <c r="I6" s="1">
        <v>4</v>
      </c>
      <c r="J6" s="1">
        <v>4</v>
      </c>
      <c r="K6" s="1">
        <v>1</v>
      </c>
      <c r="L6" s="1">
        <v>3</v>
      </c>
      <c r="M6" s="1">
        <f t="shared" si="0"/>
        <v>27</v>
      </c>
    </row>
    <row r="7" spans="2:13" x14ac:dyDescent="0.3">
      <c r="B7" s="2" t="s">
        <v>61</v>
      </c>
      <c r="C7" s="1">
        <v>3</v>
      </c>
      <c r="D7" s="1">
        <v>3</v>
      </c>
      <c r="E7" s="1">
        <v>4</v>
      </c>
      <c r="F7" s="1">
        <v>1</v>
      </c>
      <c r="G7" s="1">
        <v>2</v>
      </c>
      <c r="H7" s="1">
        <v>3</v>
      </c>
      <c r="I7" s="1">
        <v>2</v>
      </c>
      <c r="J7" s="1">
        <v>3</v>
      </c>
      <c r="K7" s="1">
        <v>4</v>
      </c>
      <c r="L7" s="1">
        <v>4</v>
      </c>
      <c r="M7" s="1">
        <f t="shared" si="0"/>
        <v>29</v>
      </c>
    </row>
    <row r="8" spans="2:13" x14ac:dyDescent="0.3">
      <c r="B8" s="2" t="s">
        <v>56</v>
      </c>
      <c r="C8" s="1">
        <v>3</v>
      </c>
      <c r="D8" s="1">
        <v>2</v>
      </c>
      <c r="E8" s="1">
        <v>3</v>
      </c>
      <c r="F8" s="1">
        <v>3</v>
      </c>
      <c r="G8" s="1">
        <v>4</v>
      </c>
      <c r="H8" s="1">
        <v>3</v>
      </c>
      <c r="I8" s="1">
        <v>3</v>
      </c>
      <c r="J8" s="1">
        <v>2</v>
      </c>
      <c r="K8" s="1">
        <v>3</v>
      </c>
      <c r="L8" s="1">
        <v>3</v>
      </c>
      <c r="M8" s="1">
        <f t="shared" si="0"/>
        <v>29</v>
      </c>
    </row>
    <row r="9" spans="2:13" x14ac:dyDescent="0.3">
      <c r="B9" s="2" t="s">
        <v>57</v>
      </c>
      <c r="C9" s="1">
        <v>3</v>
      </c>
      <c r="D9" s="1">
        <v>2</v>
      </c>
      <c r="E9" s="1">
        <v>3</v>
      </c>
      <c r="F9" s="1">
        <v>4</v>
      </c>
      <c r="G9" s="1">
        <v>2</v>
      </c>
      <c r="H9" s="1">
        <v>3</v>
      </c>
      <c r="I9" s="1">
        <v>2</v>
      </c>
      <c r="J9" s="1">
        <v>4</v>
      </c>
      <c r="K9" s="1">
        <v>3</v>
      </c>
      <c r="L9" s="1">
        <v>3</v>
      </c>
      <c r="M9" s="1">
        <f t="shared" si="0"/>
        <v>29</v>
      </c>
    </row>
    <row r="10" spans="2:13" x14ac:dyDescent="0.3">
      <c r="B10" s="2" t="s">
        <v>58</v>
      </c>
      <c r="C10" s="1">
        <v>2</v>
      </c>
      <c r="D10" s="1">
        <v>3</v>
      </c>
      <c r="E10" s="1">
        <v>4</v>
      </c>
      <c r="F10" s="1">
        <v>2</v>
      </c>
      <c r="G10" s="1">
        <v>1</v>
      </c>
      <c r="H10" s="1">
        <v>3</v>
      </c>
      <c r="I10" s="1">
        <v>3</v>
      </c>
      <c r="J10" s="1">
        <v>2</v>
      </c>
      <c r="K10" s="1">
        <v>2</v>
      </c>
      <c r="L10" s="1">
        <v>4</v>
      </c>
      <c r="M10" s="1">
        <f t="shared" si="0"/>
        <v>26</v>
      </c>
    </row>
    <row r="11" spans="2:13" x14ac:dyDescent="0.3">
      <c r="B11" s="2" t="s">
        <v>59</v>
      </c>
      <c r="C11" s="1">
        <v>4</v>
      </c>
      <c r="D11" s="1">
        <v>1</v>
      </c>
      <c r="E11" s="1">
        <v>2</v>
      </c>
      <c r="F11" s="1">
        <v>3</v>
      </c>
      <c r="G11" s="1">
        <v>3</v>
      </c>
      <c r="H11" s="1">
        <v>2</v>
      </c>
      <c r="I11" s="1">
        <v>4</v>
      </c>
      <c r="J11" s="1">
        <v>3</v>
      </c>
      <c r="K11" s="1">
        <v>2</v>
      </c>
      <c r="L11" s="1">
        <v>2</v>
      </c>
      <c r="M11" s="1">
        <f t="shared" si="0"/>
        <v>26</v>
      </c>
    </row>
    <row r="12" spans="2:13" x14ac:dyDescent="0.3">
      <c r="B12" s="2" t="s">
        <v>54</v>
      </c>
      <c r="C12" s="5">
        <v>3</v>
      </c>
      <c r="D12" s="5">
        <v>2</v>
      </c>
      <c r="E12" s="5">
        <v>3</v>
      </c>
      <c r="F12" s="5">
        <v>3</v>
      </c>
      <c r="G12" s="5">
        <v>2</v>
      </c>
      <c r="H12" s="5">
        <v>3</v>
      </c>
      <c r="I12" s="5">
        <v>3</v>
      </c>
      <c r="J12" s="5">
        <v>3</v>
      </c>
      <c r="K12" s="5">
        <v>2</v>
      </c>
      <c r="L12" s="5">
        <v>3</v>
      </c>
      <c r="M12" s="1">
        <f t="shared" si="0"/>
        <v>27</v>
      </c>
    </row>
    <row r="13" spans="2:13" x14ac:dyDescent="0.3">
      <c r="B13" s="2" t="s">
        <v>60</v>
      </c>
      <c r="C13" s="1">
        <v>2</v>
      </c>
      <c r="D13" s="1">
        <v>2</v>
      </c>
      <c r="E13" s="1">
        <v>3</v>
      </c>
      <c r="F13" s="1">
        <v>3</v>
      </c>
      <c r="G13" s="1">
        <v>4</v>
      </c>
      <c r="H13" s="1">
        <v>1</v>
      </c>
      <c r="I13" s="1">
        <v>3</v>
      </c>
      <c r="J13" s="1">
        <v>4</v>
      </c>
      <c r="K13" s="1">
        <v>2</v>
      </c>
      <c r="L13" s="1">
        <v>3</v>
      </c>
      <c r="M13" s="1">
        <f t="shared" si="0"/>
        <v>27</v>
      </c>
    </row>
    <row r="14" spans="2:13" x14ac:dyDescent="0.3">
      <c r="B14" s="2" t="s">
        <v>62</v>
      </c>
      <c r="C14" s="1">
        <v>4</v>
      </c>
      <c r="D14" s="1">
        <v>3</v>
      </c>
      <c r="E14" s="1">
        <v>1</v>
      </c>
      <c r="F14" s="1">
        <v>4</v>
      </c>
      <c r="G14" s="1">
        <v>2</v>
      </c>
      <c r="H14" s="1">
        <v>4</v>
      </c>
      <c r="I14" s="1">
        <v>3</v>
      </c>
      <c r="J14" s="1">
        <v>2</v>
      </c>
      <c r="K14" s="1">
        <v>3</v>
      </c>
      <c r="L14" s="1">
        <v>2</v>
      </c>
      <c r="M14" s="1">
        <f t="shared" si="0"/>
        <v>28</v>
      </c>
    </row>
    <row r="15" spans="2:13" x14ac:dyDescent="0.3">
      <c r="B15" s="2" t="s">
        <v>63</v>
      </c>
      <c r="C15" s="1">
        <v>1</v>
      </c>
      <c r="D15" s="1">
        <v>2</v>
      </c>
      <c r="E15" s="1">
        <v>4</v>
      </c>
      <c r="F15" s="1">
        <v>3</v>
      </c>
      <c r="G15" s="1">
        <v>3</v>
      </c>
      <c r="H15" s="1">
        <v>2</v>
      </c>
      <c r="I15" s="1">
        <v>4</v>
      </c>
      <c r="J15" s="1">
        <v>1</v>
      </c>
      <c r="K15" s="1">
        <v>3</v>
      </c>
      <c r="L15" s="1">
        <v>4</v>
      </c>
      <c r="M15" s="1">
        <f t="shared" si="0"/>
        <v>27</v>
      </c>
    </row>
    <row r="16" spans="2:13" x14ac:dyDescent="0.3">
      <c r="B16" s="2" t="s">
        <v>64</v>
      </c>
      <c r="C16" s="1">
        <v>2</v>
      </c>
      <c r="D16" s="1">
        <v>4</v>
      </c>
      <c r="E16" s="1">
        <v>3</v>
      </c>
      <c r="F16" s="1">
        <v>2</v>
      </c>
      <c r="G16" s="1">
        <v>2</v>
      </c>
      <c r="H16" s="1">
        <v>3</v>
      </c>
      <c r="I16" s="1">
        <v>3</v>
      </c>
      <c r="J16" s="1">
        <v>3</v>
      </c>
      <c r="K16" s="1">
        <v>4</v>
      </c>
      <c r="L16" s="1">
        <v>3</v>
      </c>
      <c r="M16" s="1">
        <f t="shared" si="0"/>
        <v>29</v>
      </c>
    </row>
    <row r="17" spans="2:13" x14ac:dyDescent="0.3">
      <c r="B17" s="2" t="s">
        <v>65</v>
      </c>
      <c r="C17" s="1">
        <v>3</v>
      </c>
      <c r="D17" s="1">
        <v>1</v>
      </c>
      <c r="E17" s="1">
        <v>2</v>
      </c>
      <c r="F17" s="1">
        <v>4</v>
      </c>
      <c r="G17" s="1">
        <v>4</v>
      </c>
      <c r="H17" s="1">
        <v>3</v>
      </c>
      <c r="I17" s="1">
        <v>2</v>
      </c>
      <c r="J17" s="1">
        <v>3</v>
      </c>
      <c r="K17" s="1">
        <v>1</v>
      </c>
      <c r="L17" s="1">
        <v>4</v>
      </c>
      <c r="M17" s="1">
        <f t="shared" si="0"/>
        <v>27</v>
      </c>
    </row>
    <row r="18" spans="2:13" x14ac:dyDescent="0.3">
      <c r="B18" s="3" t="s">
        <v>9</v>
      </c>
      <c r="C18" s="3">
        <f t="shared" ref="C18:I18" si="1">SUM(C3:C17)</f>
        <v>45</v>
      </c>
      <c r="D18" s="3">
        <f t="shared" si="1"/>
        <v>30</v>
      </c>
      <c r="E18" s="3">
        <f t="shared" si="1"/>
        <v>44</v>
      </c>
      <c r="F18" s="3">
        <f t="shared" si="1"/>
        <v>43</v>
      </c>
      <c r="G18" s="3">
        <f t="shared" si="1"/>
        <v>36</v>
      </c>
      <c r="H18" s="3">
        <f t="shared" si="1"/>
        <v>40</v>
      </c>
      <c r="I18" s="3">
        <f t="shared" si="1"/>
        <v>46</v>
      </c>
      <c r="J18" s="3">
        <f t="shared" ref="J18:L18" si="2">SUM(J3:J17)</f>
        <v>43</v>
      </c>
      <c r="K18" s="3">
        <f t="shared" si="2"/>
        <v>36</v>
      </c>
      <c r="L18" s="3">
        <f t="shared" si="2"/>
        <v>47</v>
      </c>
      <c r="M18" s="4">
        <f>SUM(M3:M17)</f>
        <v>410</v>
      </c>
    </row>
    <row r="19" spans="2:13" x14ac:dyDescent="0.3">
      <c r="B19" s="3" t="s">
        <v>10</v>
      </c>
      <c r="C19" s="3">
        <f>C18*C18</f>
        <v>2025</v>
      </c>
      <c r="D19" s="3">
        <f t="shared" ref="D19:I19" si="3">D18*D18</f>
        <v>900</v>
      </c>
      <c r="E19" s="3">
        <f t="shared" si="3"/>
        <v>1936</v>
      </c>
      <c r="F19" s="3">
        <f t="shared" si="3"/>
        <v>1849</v>
      </c>
      <c r="G19" s="3">
        <f t="shared" si="3"/>
        <v>1296</v>
      </c>
      <c r="H19" s="3">
        <f t="shared" si="3"/>
        <v>1600</v>
      </c>
      <c r="I19" s="3">
        <f t="shared" si="3"/>
        <v>2116</v>
      </c>
      <c r="J19" s="3">
        <f t="shared" ref="J19:L19" si="4">J18*J18</f>
        <v>1849</v>
      </c>
      <c r="K19" s="3">
        <f t="shared" si="4"/>
        <v>1296</v>
      </c>
      <c r="L19" s="3">
        <f t="shared" si="4"/>
        <v>2209</v>
      </c>
      <c r="M19" s="3">
        <f>M18*M18</f>
        <v>168100</v>
      </c>
    </row>
    <row r="24" spans="2:13" x14ac:dyDescent="0.3">
      <c r="B24" s="19" t="s">
        <v>11</v>
      </c>
      <c r="C24" s="19" t="s">
        <v>19</v>
      </c>
      <c r="D24" s="19"/>
      <c r="E24" s="19"/>
      <c r="F24" s="19"/>
      <c r="G24" s="19"/>
      <c r="H24" s="19"/>
      <c r="I24" s="19"/>
      <c r="J24" s="19"/>
      <c r="K24" s="19"/>
      <c r="L24" s="19"/>
    </row>
    <row r="25" spans="2:13" x14ac:dyDescent="0.3">
      <c r="B25" s="19"/>
      <c r="C25" s="3">
        <v>1</v>
      </c>
      <c r="D25" s="3">
        <v>2</v>
      </c>
      <c r="E25" s="3">
        <v>3</v>
      </c>
      <c r="F25" s="3">
        <v>4</v>
      </c>
      <c r="G25" s="3">
        <v>5</v>
      </c>
      <c r="H25" s="3">
        <v>6</v>
      </c>
      <c r="I25" s="3">
        <v>7</v>
      </c>
      <c r="J25" s="3">
        <v>8</v>
      </c>
      <c r="K25" s="3">
        <v>9</v>
      </c>
      <c r="L25" s="3">
        <v>10</v>
      </c>
    </row>
    <row r="26" spans="2:13" x14ac:dyDescent="0.3">
      <c r="B26" s="14">
        <v>1</v>
      </c>
      <c r="C26" s="5">
        <f t="shared" ref="C26:L27" si="5">$M3*C3</f>
        <v>84</v>
      </c>
      <c r="D26" s="5">
        <f t="shared" si="5"/>
        <v>56</v>
      </c>
      <c r="E26" s="5">
        <f t="shared" si="5"/>
        <v>84</v>
      </c>
      <c r="F26" s="5">
        <f t="shared" si="5"/>
        <v>56</v>
      </c>
      <c r="G26" s="5">
        <f t="shared" si="5"/>
        <v>56</v>
      </c>
      <c r="H26" s="5">
        <f t="shared" si="5"/>
        <v>56</v>
      </c>
      <c r="I26" s="5">
        <f t="shared" si="5"/>
        <v>112</v>
      </c>
      <c r="J26" s="5">
        <f t="shared" si="5"/>
        <v>84</v>
      </c>
      <c r="K26" s="5">
        <f t="shared" si="5"/>
        <v>112</v>
      </c>
      <c r="L26" s="5">
        <f t="shared" si="5"/>
        <v>84</v>
      </c>
    </row>
    <row r="27" spans="2:13" x14ac:dyDescent="0.3">
      <c r="B27" s="14">
        <v>2</v>
      </c>
      <c r="C27" s="5">
        <f t="shared" si="5"/>
        <v>104</v>
      </c>
      <c r="D27" s="5">
        <f t="shared" si="5"/>
        <v>26</v>
      </c>
      <c r="E27" s="5">
        <f t="shared" si="5"/>
        <v>78</v>
      </c>
      <c r="F27" s="5">
        <f t="shared" si="5"/>
        <v>78</v>
      </c>
      <c r="G27" s="5">
        <f t="shared" si="5"/>
        <v>52</v>
      </c>
      <c r="H27" s="5">
        <f t="shared" si="5"/>
        <v>78</v>
      </c>
      <c r="I27" s="5">
        <f t="shared" si="5"/>
        <v>78</v>
      </c>
      <c r="J27" s="5">
        <f t="shared" si="5"/>
        <v>78</v>
      </c>
      <c r="K27" s="5">
        <f t="shared" si="5"/>
        <v>26</v>
      </c>
      <c r="L27" s="5">
        <f t="shared" si="5"/>
        <v>78</v>
      </c>
    </row>
    <row r="28" spans="2:13" x14ac:dyDescent="0.3">
      <c r="B28" s="14">
        <v>3</v>
      </c>
      <c r="C28" s="5">
        <f t="shared" ref="C28:L28" si="6">$M5*C5</f>
        <v>100</v>
      </c>
      <c r="D28" s="5">
        <f t="shared" si="6"/>
        <v>25</v>
      </c>
      <c r="E28" s="5">
        <f t="shared" si="6"/>
        <v>75</v>
      </c>
      <c r="F28" s="5">
        <f t="shared" si="6"/>
        <v>100</v>
      </c>
      <c r="G28" s="5">
        <f t="shared" si="6"/>
        <v>25</v>
      </c>
      <c r="H28" s="5">
        <f t="shared" si="6"/>
        <v>50</v>
      </c>
      <c r="I28" s="5">
        <f t="shared" si="6"/>
        <v>75</v>
      </c>
      <c r="J28" s="5">
        <f t="shared" si="6"/>
        <v>75</v>
      </c>
      <c r="K28" s="5">
        <f t="shared" si="6"/>
        <v>25</v>
      </c>
      <c r="L28" s="5">
        <f t="shared" si="6"/>
        <v>75</v>
      </c>
    </row>
    <row r="29" spans="2:13" x14ac:dyDescent="0.3">
      <c r="B29" s="14">
        <v>4</v>
      </c>
      <c r="C29" s="5">
        <f t="shared" ref="C29:L29" si="7">$M6*C6</f>
        <v>108</v>
      </c>
      <c r="D29" s="5">
        <f t="shared" si="7"/>
        <v>27</v>
      </c>
      <c r="E29" s="5">
        <f t="shared" si="7"/>
        <v>81</v>
      </c>
      <c r="F29" s="5">
        <f t="shared" si="7"/>
        <v>54</v>
      </c>
      <c r="G29" s="5">
        <f t="shared" si="7"/>
        <v>54</v>
      </c>
      <c r="H29" s="5">
        <f t="shared" si="7"/>
        <v>81</v>
      </c>
      <c r="I29" s="5">
        <f t="shared" si="7"/>
        <v>108</v>
      </c>
      <c r="J29" s="5">
        <f t="shared" si="7"/>
        <v>108</v>
      </c>
      <c r="K29" s="5">
        <f t="shared" si="7"/>
        <v>27</v>
      </c>
      <c r="L29" s="5">
        <f t="shared" si="7"/>
        <v>81</v>
      </c>
    </row>
    <row r="30" spans="2:13" x14ac:dyDescent="0.3">
      <c r="B30" s="14">
        <v>5</v>
      </c>
      <c r="C30" s="5">
        <f t="shared" ref="C30:L30" si="8">$M7*C7</f>
        <v>87</v>
      </c>
      <c r="D30" s="5">
        <f t="shared" si="8"/>
        <v>87</v>
      </c>
      <c r="E30" s="5">
        <f t="shared" si="8"/>
        <v>116</v>
      </c>
      <c r="F30" s="5">
        <f t="shared" si="8"/>
        <v>29</v>
      </c>
      <c r="G30" s="5">
        <f t="shared" si="8"/>
        <v>58</v>
      </c>
      <c r="H30" s="5">
        <f t="shared" si="8"/>
        <v>87</v>
      </c>
      <c r="I30" s="5">
        <f t="shared" si="8"/>
        <v>58</v>
      </c>
      <c r="J30" s="5">
        <f t="shared" si="8"/>
        <v>87</v>
      </c>
      <c r="K30" s="5">
        <f t="shared" si="8"/>
        <v>116</v>
      </c>
      <c r="L30" s="5">
        <f t="shared" si="8"/>
        <v>116</v>
      </c>
    </row>
    <row r="31" spans="2:13" x14ac:dyDescent="0.3">
      <c r="B31" s="14">
        <v>6</v>
      </c>
      <c r="C31" s="5">
        <f t="shared" ref="C31:L31" si="9">$M8*C8</f>
        <v>87</v>
      </c>
      <c r="D31" s="5">
        <f t="shared" si="9"/>
        <v>58</v>
      </c>
      <c r="E31" s="5">
        <f t="shared" si="9"/>
        <v>87</v>
      </c>
      <c r="F31" s="5">
        <f t="shared" si="9"/>
        <v>87</v>
      </c>
      <c r="G31" s="5">
        <f t="shared" si="9"/>
        <v>116</v>
      </c>
      <c r="H31" s="5">
        <f t="shared" si="9"/>
        <v>87</v>
      </c>
      <c r="I31" s="5">
        <f t="shared" si="9"/>
        <v>87</v>
      </c>
      <c r="J31" s="5">
        <f t="shared" si="9"/>
        <v>58</v>
      </c>
      <c r="K31" s="5">
        <f t="shared" si="9"/>
        <v>87</v>
      </c>
      <c r="L31" s="5">
        <f t="shared" si="9"/>
        <v>87</v>
      </c>
    </row>
    <row r="32" spans="2:13" x14ac:dyDescent="0.3">
      <c r="B32" s="14">
        <v>7</v>
      </c>
      <c r="C32" s="5">
        <f t="shared" ref="C32:L32" si="10">$M9*C9</f>
        <v>87</v>
      </c>
      <c r="D32" s="5">
        <f t="shared" si="10"/>
        <v>58</v>
      </c>
      <c r="E32" s="5">
        <f t="shared" si="10"/>
        <v>87</v>
      </c>
      <c r="F32" s="5">
        <f t="shared" si="10"/>
        <v>116</v>
      </c>
      <c r="G32" s="5">
        <f t="shared" si="10"/>
        <v>58</v>
      </c>
      <c r="H32" s="5">
        <f t="shared" si="10"/>
        <v>87</v>
      </c>
      <c r="I32" s="5">
        <f t="shared" si="10"/>
        <v>58</v>
      </c>
      <c r="J32" s="5">
        <f t="shared" si="10"/>
        <v>116</v>
      </c>
      <c r="K32" s="5">
        <f t="shared" si="10"/>
        <v>87</v>
      </c>
      <c r="L32" s="5">
        <f t="shared" si="10"/>
        <v>87</v>
      </c>
    </row>
    <row r="33" spans="2:13" x14ac:dyDescent="0.3">
      <c r="B33" s="14">
        <v>8</v>
      </c>
      <c r="C33" s="5">
        <f t="shared" ref="C33:L33" si="11">$M10*C10</f>
        <v>52</v>
      </c>
      <c r="D33" s="5">
        <f t="shared" si="11"/>
        <v>78</v>
      </c>
      <c r="E33" s="5">
        <f t="shared" si="11"/>
        <v>104</v>
      </c>
      <c r="F33" s="5">
        <f t="shared" si="11"/>
        <v>52</v>
      </c>
      <c r="G33" s="5">
        <f t="shared" si="11"/>
        <v>26</v>
      </c>
      <c r="H33" s="5">
        <f t="shared" si="11"/>
        <v>78</v>
      </c>
      <c r="I33" s="5">
        <f t="shared" si="11"/>
        <v>78</v>
      </c>
      <c r="J33" s="5">
        <f t="shared" si="11"/>
        <v>52</v>
      </c>
      <c r="K33" s="5">
        <f t="shared" si="11"/>
        <v>52</v>
      </c>
      <c r="L33" s="5">
        <f t="shared" si="11"/>
        <v>104</v>
      </c>
    </row>
    <row r="34" spans="2:13" x14ac:dyDescent="0.3">
      <c r="B34" s="14">
        <v>9</v>
      </c>
      <c r="C34" s="5">
        <f t="shared" ref="C34:L34" si="12">$M11*C11</f>
        <v>104</v>
      </c>
      <c r="D34" s="5">
        <f t="shared" si="12"/>
        <v>26</v>
      </c>
      <c r="E34" s="5">
        <f t="shared" si="12"/>
        <v>52</v>
      </c>
      <c r="F34" s="5">
        <f t="shared" si="12"/>
        <v>78</v>
      </c>
      <c r="G34" s="5">
        <f t="shared" si="12"/>
        <v>78</v>
      </c>
      <c r="H34" s="5">
        <f t="shared" si="12"/>
        <v>52</v>
      </c>
      <c r="I34" s="5">
        <f t="shared" si="12"/>
        <v>104</v>
      </c>
      <c r="J34" s="5">
        <f t="shared" si="12"/>
        <v>78</v>
      </c>
      <c r="K34" s="5">
        <f t="shared" si="12"/>
        <v>52</v>
      </c>
      <c r="L34" s="5">
        <f t="shared" si="12"/>
        <v>52</v>
      </c>
    </row>
    <row r="35" spans="2:13" x14ac:dyDescent="0.3">
      <c r="B35" s="14">
        <v>10</v>
      </c>
      <c r="C35" s="5">
        <f t="shared" ref="C35:L35" si="13">$M12*C12</f>
        <v>81</v>
      </c>
      <c r="D35" s="5">
        <f t="shared" si="13"/>
        <v>54</v>
      </c>
      <c r="E35" s="5">
        <f t="shared" si="13"/>
        <v>81</v>
      </c>
      <c r="F35" s="5">
        <f t="shared" si="13"/>
        <v>81</v>
      </c>
      <c r="G35" s="5">
        <f t="shared" si="13"/>
        <v>54</v>
      </c>
      <c r="H35" s="5">
        <f t="shared" si="13"/>
        <v>81</v>
      </c>
      <c r="I35" s="5">
        <f t="shared" si="13"/>
        <v>81</v>
      </c>
      <c r="J35" s="5">
        <f t="shared" si="13"/>
        <v>81</v>
      </c>
      <c r="K35" s="5">
        <f t="shared" si="13"/>
        <v>54</v>
      </c>
      <c r="L35" s="5">
        <f t="shared" si="13"/>
        <v>81</v>
      </c>
    </row>
    <row r="36" spans="2:13" x14ac:dyDescent="0.3">
      <c r="B36" s="14">
        <v>11</v>
      </c>
      <c r="C36" s="5">
        <f t="shared" ref="C36:L36" si="14">$M13*C13</f>
        <v>54</v>
      </c>
      <c r="D36" s="5">
        <f t="shared" si="14"/>
        <v>54</v>
      </c>
      <c r="E36" s="5">
        <f t="shared" si="14"/>
        <v>81</v>
      </c>
      <c r="F36" s="5">
        <f t="shared" si="14"/>
        <v>81</v>
      </c>
      <c r="G36" s="5">
        <f t="shared" si="14"/>
        <v>108</v>
      </c>
      <c r="H36" s="5">
        <f t="shared" si="14"/>
        <v>27</v>
      </c>
      <c r="I36" s="5">
        <f t="shared" si="14"/>
        <v>81</v>
      </c>
      <c r="J36" s="5">
        <f t="shared" si="14"/>
        <v>108</v>
      </c>
      <c r="K36" s="5">
        <f t="shared" si="14"/>
        <v>54</v>
      </c>
      <c r="L36" s="5">
        <f t="shared" si="14"/>
        <v>81</v>
      </c>
    </row>
    <row r="37" spans="2:13" x14ac:dyDescent="0.3">
      <c r="B37" s="14">
        <v>12</v>
      </c>
      <c r="C37" s="5">
        <f t="shared" ref="C37:L37" si="15">$M14*C14</f>
        <v>112</v>
      </c>
      <c r="D37" s="5">
        <f t="shared" si="15"/>
        <v>84</v>
      </c>
      <c r="E37" s="5">
        <f t="shared" si="15"/>
        <v>28</v>
      </c>
      <c r="F37" s="5">
        <f t="shared" si="15"/>
        <v>112</v>
      </c>
      <c r="G37" s="5">
        <f t="shared" si="15"/>
        <v>56</v>
      </c>
      <c r="H37" s="5">
        <f t="shared" si="15"/>
        <v>112</v>
      </c>
      <c r="I37" s="5">
        <f t="shared" si="15"/>
        <v>84</v>
      </c>
      <c r="J37" s="5">
        <f t="shared" si="15"/>
        <v>56</v>
      </c>
      <c r="K37" s="5">
        <f t="shared" si="15"/>
        <v>84</v>
      </c>
      <c r="L37" s="5">
        <f t="shared" si="15"/>
        <v>56</v>
      </c>
    </row>
    <row r="38" spans="2:13" x14ac:dyDescent="0.3">
      <c r="B38" s="14">
        <v>13</v>
      </c>
      <c r="C38" s="5">
        <f t="shared" ref="C38:L38" si="16">$M15*C15</f>
        <v>27</v>
      </c>
      <c r="D38" s="5">
        <f t="shared" si="16"/>
        <v>54</v>
      </c>
      <c r="E38" s="5">
        <f t="shared" si="16"/>
        <v>108</v>
      </c>
      <c r="F38" s="5">
        <f t="shared" si="16"/>
        <v>81</v>
      </c>
      <c r="G38" s="5">
        <f t="shared" si="16"/>
        <v>81</v>
      </c>
      <c r="H38" s="5">
        <f t="shared" si="16"/>
        <v>54</v>
      </c>
      <c r="I38" s="5">
        <f t="shared" si="16"/>
        <v>108</v>
      </c>
      <c r="J38" s="5">
        <f t="shared" si="16"/>
        <v>27</v>
      </c>
      <c r="K38" s="5">
        <f t="shared" si="16"/>
        <v>81</v>
      </c>
      <c r="L38" s="5">
        <f t="shared" si="16"/>
        <v>108</v>
      </c>
    </row>
    <row r="39" spans="2:13" x14ac:dyDescent="0.3">
      <c r="B39" s="14">
        <v>14</v>
      </c>
      <c r="C39" s="5">
        <f t="shared" ref="C39:L39" si="17">$M16*C16</f>
        <v>58</v>
      </c>
      <c r="D39" s="5">
        <f t="shared" si="17"/>
        <v>116</v>
      </c>
      <c r="E39" s="5">
        <f t="shared" si="17"/>
        <v>87</v>
      </c>
      <c r="F39" s="5">
        <f t="shared" si="17"/>
        <v>58</v>
      </c>
      <c r="G39" s="5">
        <f t="shared" si="17"/>
        <v>58</v>
      </c>
      <c r="H39" s="5">
        <f t="shared" si="17"/>
        <v>87</v>
      </c>
      <c r="I39" s="5">
        <f t="shared" si="17"/>
        <v>87</v>
      </c>
      <c r="J39" s="5">
        <f t="shared" si="17"/>
        <v>87</v>
      </c>
      <c r="K39" s="5">
        <f t="shared" si="17"/>
        <v>116</v>
      </c>
      <c r="L39" s="5">
        <f t="shared" si="17"/>
        <v>87</v>
      </c>
    </row>
    <row r="40" spans="2:13" x14ac:dyDescent="0.3">
      <c r="B40" s="14">
        <v>15</v>
      </c>
      <c r="C40" s="5">
        <f t="shared" ref="C40:L40" si="18">$M17*C17</f>
        <v>81</v>
      </c>
      <c r="D40" s="5">
        <f t="shared" si="18"/>
        <v>27</v>
      </c>
      <c r="E40" s="5">
        <f t="shared" si="18"/>
        <v>54</v>
      </c>
      <c r="F40" s="5">
        <f t="shared" si="18"/>
        <v>108</v>
      </c>
      <c r="G40" s="5">
        <f t="shared" si="18"/>
        <v>108</v>
      </c>
      <c r="H40" s="5">
        <f t="shared" si="18"/>
        <v>81</v>
      </c>
      <c r="I40" s="5">
        <f t="shared" si="18"/>
        <v>54</v>
      </c>
      <c r="J40" s="5">
        <f t="shared" si="18"/>
        <v>81</v>
      </c>
      <c r="K40" s="5">
        <f t="shared" si="18"/>
        <v>27</v>
      </c>
      <c r="L40" s="5">
        <f t="shared" si="18"/>
        <v>108</v>
      </c>
    </row>
    <row r="41" spans="2:13" x14ac:dyDescent="0.3">
      <c r="B41" s="14" t="s">
        <v>8</v>
      </c>
      <c r="C41" s="3">
        <f>SUM(C26:C40)</f>
        <v>1226</v>
      </c>
      <c r="D41" s="3">
        <f t="shared" ref="D41:L41" si="19">SUM(D26:D40)</f>
        <v>830</v>
      </c>
      <c r="E41" s="3">
        <f t="shared" si="19"/>
        <v>1203</v>
      </c>
      <c r="F41" s="3">
        <f t="shared" si="19"/>
        <v>1171</v>
      </c>
      <c r="G41" s="3">
        <f t="shared" si="19"/>
        <v>988</v>
      </c>
      <c r="H41" s="3">
        <f t="shared" si="19"/>
        <v>1098</v>
      </c>
      <c r="I41" s="3">
        <f t="shared" si="19"/>
        <v>1253</v>
      </c>
      <c r="J41" s="3">
        <f t="shared" si="19"/>
        <v>1176</v>
      </c>
      <c r="K41" s="3">
        <f t="shared" si="19"/>
        <v>1000</v>
      </c>
      <c r="L41" s="3">
        <f t="shared" si="19"/>
        <v>1285</v>
      </c>
    </row>
    <row r="44" spans="2:13" x14ac:dyDescent="0.3">
      <c r="B44" s="19" t="s">
        <v>11</v>
      </c>
      <c r="C44" s="22" t="s">
        <v>12</v>
      </c>
      <c r="D44" s="23"/>
      <c r="E44" s="23"/>
      <c r="F44" s="23"/>
      <c r="G44" s="23"/>
      <c r="H44" s="23"/>
      <c r="I44" s="23"/>
      <c r="J44" s="23"/>
      <c r="K44" s="23"/>
      <c r="L44" s="24"/>
      <c r="M44" s="20" t="s">
        <v>8</v>
      </c>
    </row>
    <row r="45" spans="2:13" x14ac:dyDescent="0.3">
      <c r="B45" s="19"/>
      <c r="C45" s="5">
        <v>1</v>
      </c>
      <c r="D45" s="5">
        <v>2</v>
      </c>
      <c r="E45" s="5">
        <v>3</v>
      </c>
      <c r="F45" s="5">
        <v>4</v>
      </c>
      <c r="G45" s="5">
        <v>5</v>
      </c>
      <c r="H45" s="5">
        <v>6</v>
      </c>
      <c r="I45" s="7">
        <v>7</v>
      </c>
      <c r="J45" s="5">
        <v>8</v>
      </c>
      <c r="K45" s="5">
        <v>9</v>
      </c>
      <c r="L45" s="5">
        <v>10</v>
      </c>
      <c r="M45" s="20"/>
    </row>
    <row r="46" spans="2:13" x14ac:dyDescent="0.3">
      <c r="B46" s="8">
        <v>1</v>
      </c>
      <c r="C46" s="5">
        <f t="shared" ref="C46:L46" si="20">C3*C3</f>
        <v>9</v>
      </c>
      <c r="D46" s="5">
        <f t="shared" si="20"/>
        <v>4</v>
      </c>
      <c r="E46" s="5">
        <f t="shared" si="20"/>
        <v>9</v>
      </c>
      <c r="F46" s="5">
        <f t="shared" si="20"/>
        <v>4</v>
      </c>
      <c r="G46" s="5">
        <f t="shared" si="20"/>
        <v>4</v>
      </c>
      <c r="H46" s="5">
        <f t="shared" si="20"/>
        <v>4</v>
      </c>
      <c r="I46" s="5">
        <f t="shared" si="20"/>
        <v>16</v>
      </c>
      <c r="J46" s="5">
        <f t="shared" si="20"/>
        <v>9</v>
      </c>
      <c r="K46" s="5">
        <f t="shared" si="20"/>
        <v>16</v>
      </c>
      <c r="L46" s="5">
        <f t="shared" si="20"/>
        <v>9</v>
      </c>
      <c r="M46" s="3">
        <f>M3*M3</f>
        <v>784</v>
      </c>
    </row>
    <row r="47" spans="2:13" x14ac:dyDescent="0.3">
      <c r="B47" s="8">
        <v>2</v>
      </c>
      <c r="C47" s="5">
        <f t="shared" ref="C47:L47" si="21">C4*C4</f>
        <v>16</v>
      </c>
      <c r="D47" s="5">
        <f t="shared" si="21"/>
        <v>1</v>
      </c>
      <c r="E47" s="5">
        <f t="shared" si="21"/>
        <v>9</v>
      </c>
      <c r="F47" s="5">
        <f t="shared" si="21"/>
        <v>9</v>
      </c>
      <c r="G47" s="5">
        <f t="shared" si="21"/>
        <v>4</v>
      </c>
      <c r="H47" s="5">
        <f t="shared" si="21"/>
        <v>9</v>
      </c>
      <c r="I47" s="5">
        <f t="shared" si="21"/>
        <v>9</v>
      </c>
      <c r="J47" s="5">
        <f t="shared" si="21"/>
        <v>9</v>
      </c>
      <c r="K47" s="5">
        <f t="shared" si="21"/>
        <v>1</v>
      </c>
      <c r="L47" s="5">
        <f t="shared" si="21"/>
        <v>9</v>
      </c>
      <c r="M47" s="3">
        <f>M4*M4</f>
        <v>676</v>
      </c>
    </row>
    <row r="48" spans="2:13" x14ac:dyDescent="0.3">
      <c r="B48" s="8">
        <v>3</v>
      </c>
      <c r="C48" s="5">
        <f t="shared" ref="C48:L48" si="22">C5*C5</f>
        <v>16</v>
      </c>
      <c r="D48" s="5">
        <f t="shared" si="22"/>
        <v>1</v>
      </c>
      <c r="E48" s="5">
        <f t="shared" si="22"/>
        <v>9</v>
      </c>
      <c r="F48" s="5">
        <f t="shared" si="22"/>
        <v>16</v>
      </c>
      <c r="G48" s="5">
        <f t="shared" si="22"/>
        <v>1</v>
      </c>
      <c r="H48" s="5">
        <f t="shared" si="22"/>
        <v>4</v>
      </c>
      <c r="I48" s="5">
        <f t="shared" si="22"/>
        <v>9</v>
      </c>
      <c r="J48" s="5">
        <f t="shared" si="22"/>
        <v>9</v>
      </c>
      <c r="K48" s="5">
        <f t="shared" si="22"/>
        <v>1</v>
      </c>
      <c r="L48" s="5">
        <f t="shared" si="22"/>
        <v>9</v>
      </c>
      <c r="M48" s="3">
        <f>M5*M5</f>
        <v>625</v>
      </c>
    </row>
    <row r="49" spans="2:24" x14ac:dyDescent="0.3">
      <c r="B49" s="8">
        <v>4</v>
      </c>
      <c r="C49" s="5">
        <f t="shared" ref="C49:M49" si="23">C6*C6</f>
        <v>16</v>
      </c>
      <c r="D49" s="5">
        <f t="shared" si="23"/>
        <v>1</v>
      </c>
      <c r="E49" s="5">
        <f t="shared" si="23"/>
        <v>9</v>
      </c>
      <c r="F49" s="5">
        <f t="shared" si="23"/>
        <v>4</v>
      </c>
      <c r="G49" s="5">
        <f t="shared" si="23"/>
        <v>4</v>
      </c>
      <c r="H49" s="5">
        <f t="shared" si="23"/>
        <v>9</v>
      </c>
      <c r="I49" s="5">
        <f t="shared" si="23"/>
        <v>16</v>
      </c>
      <c r="J49" s="5">
        <f t="shared" si="23"/>
        <v>16</v>
      </c>
      <c r="K49" s="5">
        <f t="shared" si="23"/>
        <v>1</v>
      </c>
      <c r="L49" s="5">
        <f t="shared" si="23"/>
        <v>9</v>
      </c>
      <c r="M49" s="3">
        <f t="shared" si="23"/>
        <v>729</v>
      </c>
    </row>
    <row r="50" spans="2:24" x14ac:dyDescent="0.3">
      <c r="B50" s="8">
        <v>5</v>
      </c>
      <c r="C50" s="5">
        <f t="shared" ref="C50:M50" si="24">C7*C7</f>
        <v>9</v>
      </c>
      <c r="D50" s="5">
        <f t="shared" si="24"/>
        <v>9</v>
      </c>
      <c r="E50" s="5">
        <f t="shared" si="24"/>
        <v>16</v>
      </c>
      <c r="F50" s="5">
        <f t="shared" si="24"/>
        <v>1</v>
      </c>
      <c r="G50" s="5">
        <f t="shared" si="24"/>
        <v>4</v>
      </c>
      <c r="H50" s="5">
        <f t="shared" si="24"/>
        <v>9</v>
      </c>
      <c r="I50" s="5">
        <f t="shared" si="24"/>
        <v>4</v>
      </c>
      <c r="J50" s="5">
        <f t="shared" si="24"/>
        <v>9</v>
      </c>
      <c r="K50" s="5">
        <f t="shared" si="24"/>
        <v>16</v>
      </c>
      <c r="L50" s="5">
        <f t="shared" si="24"/>
        <v>16</v>
      </c>
      <c r="M50" s="3">
        <f t="shared" si="24"/>
        <v>841</v>
      </c>
    </row>
    <row r="51" spans="2:24" x14ac:dyDescent="0.3">
      <c r="B51" s="8">
        <v>6</v>
      </c>
      <c r="C51" s="5">
        <f t="shared" ref="C51:M51" si="25">C8*C8</f>
        <v>9</v>
      </c>
      <c r="D51" s="5">
        <f t="shared" si="25"/>
        <v>4</v>
      </c>
      <c r="E51" s="5">
        <f t="shared" si="25"/>
        <v>9</v>
      </c>
      <c r="F51" s="5">
        <f t="shared" si="25"/>
        <v>9</v>
      </c>
      <c r="G51" s="5">
        <f t="shared" si="25"/>
        <v>16</v>
      </c>
      <c r="H51" s="5">
        <f t="shared" si="25"/>
        <v>9</v>
      </c>
      <c r="I51" s="5">
        <f t="shared" si="25"/>
        <v>9</v>
      </c>
      <c r="J51" s="5">
        <f t="shared" si="25"/>
        <v>4</v>
      </c>
      <c r="K51" s="5">
        <f t="shared" si="25"/>
        <v>9</v>
      </c>
      <c r="L51" s="5">
        <f t="shared" si="25"/>
        <v>9</v>
      </c>
      <c r="M51" s="3">
        <f t="shared" si="25"/>
        <v>841</v>
      </c>
    </row>
    <row r="52" spans="2:24" x14ac:dyDescent="0.3">
      <c r="B52" s="8">
        <v>7</v>
      </c>
      <c r="C52" s="5">
        <f t="shared" ref="C52:M52" si="26">C9*C9</f>
        <v>9</v>
      </c>
      <c r="D52" s="5">
        <f t="shared" si="26"/>
        <v>4</v>
      </c>
      <c r="E52" s="5">
        <f t="shared" si="26"/>
        <v>9</v>
      </c>
      <c r="F52" s="5">
        <f t="shared" si="26"/>
        <v>16</v>
      </c>
      <c r="G52" s="5">
        <f t="shared" si="26"/>
        <v>4</v>
      </c>
      <c r="H52" s="5">
        <f t="shared" si="26"/>
        <v>9</v>
      </c>
      <c r="I52" s="5">
        <f t="shared" si="26"/>
        <v>4</v>
      </c>
      <c r="J52" s="5">
        <f t="shared" si="26"/>
        <v>16</v>
      </c>
      <c r="K52" s="5">
        <f t="shared" si="26"/>
        <v>9</v>
      </c>
      <c r="L52" s="5">
        <f t="shared" si="26"/>
        <v>9</v>
      </c>
      <c r="M52" s="3">
        <f t="shared" si="26"/>
        <v>841</v>
      </c>
    </row>
    <row r="53" spans="2:24" x14ac:dyDescent="0.3">
      <c r="B53" s="8">
        <v>8</v>
      </c>
      <c r="C53" s="5">
        <f t="shared" ref="C53:M53" si="27">C10*C10</f>
        <v>4</v>
      </c>
      <c r="D53" s="5">
        <f t="shared" si="27"/>
        <v>9</v>
      </c>
      <c r="E53" s="5">
        <f t="shared" si="27"/>
        <v>16</v>
      </c>
      <c r="F53" s="5">
        <f t="shared" si="27"/>
        <v>4</v>
      </c>
      <c r="G53" s="5">
        <f t="shared" si="27"/>
        <v>1</v>
      </c>
      <c r="H53" s="5">
        <f t="shared" si="27"/>
        <v>9</v>
      </c>
      <c r="I53" s="5">
        <f t="shared" si="27"/>
        <v>9</v>
      </c>
      <c r="J53" s="5">
        <f t="shared" si="27"/>
        <v>4</v>
      </c>
      <c r="K53" s="5">
        <f t="shared" si="27"/>
        <v>4</v>
      </c>
      <c r="L53" s="5">
        <f t="shared" si="27"/>
        <v>16</v>
      </c>
      <c r="M53" s="3">
        <f t="shared" si="27"/>
        <v>676</v>
      </c>
    </row>
    <row r="54" spans="2:24" x14ac:dyDescent="0.3">
      <c r="B54" s="8">
        <v>9</v>
      </c>
      <c r="C54" s="5">
        <f t="shared" ref="C54:M54" si="28">C11*C11</f>
        <v>16</v>
      </c>
      <c r="D54" s="5">
        <f t="shared" si="28"/>
        <v>1</v>
      </c>
      <c r="E54" s="5">
        <f t="shared" si="28"/>
        <v>4</v>
      </c>
      <c r="F54" s="5">
        <f t="shared" si="28"/>
        <v>9</v>
      </c>
      <c r="G54" s="5">
        <f t="shared" si="28"/>
        <v>9</v>
      </c>
      <c r="H54" s="5">
        <f t="shared" si="28"/>
        <v>4</v>
      </c>
      <c r="I54" s="5">
        <f t="shared" si="28"/>
        <v>16</v>
      </c>
      <c r="J54" s="5">
        <f t="shared" si="28"/>
        <v>9</v>
      </c>
      <c r="K54" s="5">
        <f t="shared" si="28"/>
        <v>4</v>
      </c>
      <c r="L54" s="5">
        <f t="shared" si="28"/>
        <v>4</v>
      </c>
      <c r="M54" s="3">
        <f t="shared" si="28"/>
        <v>676</v>
      </c>
    </row>
    <row r="55" spans="2:24" x14ac:dyDescent="0.3">
      <c r="B55" s="8">
        <v>10</v>
      </c>
      <c r="C55" s="5">
        <f t="shared" ref="C55:M55" si="29">C12*C12</f>
        <v>9</v>
      </c>
      <c r="D55" s="5">
        <f t="shared" si="29"/>
        <v>4</v>
      </c>
      <c r="E55" s="5">
        <f t="shared" si="29"/>
        <v>9</v>
      </c>
      <c r="F55" s="5">
        <f t="shared" si="29"/>
        <v>9</v>
      </c>
      <c r="G55" s="5">
        <f t="shared" si="29"/>
        <v>4</v>
      </c>
      <c r="H55" s="5">
        <f t="shared" si="29"/>
        <v>9</v>
      </c>
      <c r="I55" s="5">
        <f t="shared" si="29"/>
        <v>9</v>
      </c>
      <c r="J55" s="5">
        <f t="shared" si="29"/>
        <v>9</v>
      </c>
      <c r="K55" s="5">
        <f t="shared" si="29"/>
        <v>4</v>
      </c>
      <c r="L55" s="5">
        <f t="shared" si="29"/>
        <v>9</v>
      </c>
      <c r="M55" s="3">
        <f t="shared" si="29"/>
        <v>729</v>
      </c>
    </row>
    <row r="56" spans="2:24" x14ac:dyDescent="0.3">
      <c r="B56" s="8">
        <v>11</v>
      </c>
      <c r="C56" s="5">
        <f t="shared" ref="C56:M56" si="30">C13*C13</f>
        <v>4</v>
      </c>
      <c r="D56" s="5">
        <f t="shared" si="30"/>
        <v>4</v>
      </c>
      <c r="E56" s="5">
        <f t="shared" si="30"/>
        <v>9</v>
      </c>
      <c r="F56" s="5">
        <f t="shared" si="30"/>
        <v>9</v>
      </c>
      <c r="G56" s="5">
        <f t="shared" si="30"/>
        <v>16</v>
      </c>
      <c r="H56" s="5">
        <f t="shared" si="30"/>
        <v>1</v>
      </c>
      <c r="I56" s="5">
        <f t="shared" si="30"/>
        <v>9</v>
      </c>
      <c r="J56" s="5">
        <f t="shared" si="30"/>
        <v>16</v>
      </c>
      <c r="K56" s="5">
        <f t="shared" si="30"/>
        <v>4</v>
      </c>
      <c r="L56" s="5">
        <f t="shared" si="30"/>
        <v>9</v>
      </c>
      <c r="M56" s="3">
        <f t="shared" si="30"/>
        <v>729</v>
      </c>
    </row>
    <row r="57" spans="2:24" x14ac:dyDescent="0.3">
      <c r="B57" s="8">
        <v>12</v>
      </c>
      <c r="C57" s="5">
        <f t="shared" ref="C57:M57" si="31">C14*C14</f>
        <v>16</v>
      </c>
      <c r="D57" s="5">
        <f t="shared" si="31"/>
        <v>9</v>
      </c>
      <c r="E57" s="5">
        <f t="shared" si="31"/>
        <v>1</v>
      </c>
      <c r="F57" s="5">
        <f t="shared" si="31"/>
        <v>16</v>
      </c>
      <c r="G57" s="5">
        <f t="shared" si="31"/>
        <v>4</v>
      </c>
      <c r="H57" s="5">
        <f t="shared" si="31"/>
        <v>16</v>
      </c>
      <c r="I57" s="5">
        <f t="shared" si="31"/>
        <v>9</v>
      </c>
      <c r="J57" s="5">
        <f t="shared" si="31"/>
        <v>4</v>
      </c>
      <c r="K57" s="5">
        <f t="shared" si="31"/>
        <v>9</v>
      </c>
      <c r="L57" s="5">
        <f t="shared" si="31"/>
        <v>4</v>
      </c>
      <c r="M57" s="3">
        <f t="shared" si="31"/>
        <v>784</v>
      </c>
    </row>
    <row r="58" spans="2:24" x14ac:dyDescent="0.3">
      <c r="B58" s="8">
        <v>13</v>
      </c>
      <c r="C58" s="5">
        <f t="shared" ref="C58:M58" si="32">C15*C15</f>
        <v>1</v>
      </c>
      <c r="D58" s="5">
        <f t="shared" si="32"/>
        <v>4</v>
      </c>
      <c r="E58" s="5">
        <f t="shared" si="32"/>
        <v>16</v>
      </c>
      <c r="F58" s="5">
        <f t="shared" si="32"/>
        <v>9</v>
      </c>
      <c r="G58" s="5">
        <f t="shared" si="32"/>
        <v>9</v>
      </c>
      <c r="H58" s="5">
        <f t="shared" si="32"/>
        <v>4</v>
      </c>
      <c r="I58" s="5">
        <f t="shared" si="32"/>
        <v>16</v>
      </c>
      <c r="J58" s="5">
        <f t="shared" si="32"/>
        <v>1</v>
      </c>
      <c r="K58" s="5">
        <f t="shared" si="32"/>
        <v>9</v>
      </c>
      <c r="L58" s="5">
        <f t="shared" si="32"/>
        <v>16</v>
      </c>
      <c r="M58" s="3">
        <f t="shared" si="32"/>
        <v>729</v>
      </c>
    </row>
    <row r="59" spans="2:24" x14ac:dyDescent="0.3">
      <c r="B59" s="8">
        <v>14</v>
      </c>
      <c r="C59" s="5">
        <f t="shared" ref="C59:L59" si="33">C16*C16</f>
        <v>4</v>
      </c>
      <c r="D59" s="5">
        <f t="shared" si="33"/>
        <v>16</v>
      </c>
      <c r="E59" s="5">
        <f t="shared" si="33"/>
        <v>9</v>
      </c>
      <c r="F59" s="5">
        <f t="shared" si="33"/>
        <v>4</v>
      </c>
      <c r="G59" s="5">
        <f t="shared" si="33"/>
        <v>4</v>
      </c>
      <c r="H59" s="5">
        <f t="shared" si="33"/>
        <v>9</v>
      </c>
      <c r="I59" s="5">
        <f t="shared" si="33"/>
        <v>9</v>
      </c>
      <c r="J59" s="5">
        <f t="shared" si="33"/>
        <v>9</v>
      </c>
      <c r="K59" s="5">
        <f t="shared" si="33"/>
        <v>16</v>
      </c>
      <c r="L59" s="5">
        <f t="shared" si="33"/>
        <v>9</v>
      </c>
      <c r="M59" s="3">
        <f>M16*M16</f>
        <v>841</v>
      </c>
    </row>
    <row r="60" spans="2:24" x14ac:dyDescent="0.3">
      <c r="B60" s="8">
        <v>15</v>
      </c>
      <c r="C60" s="5">
        <f t="shared" ref="C60:M60" si="34">C17*C17</f>
        <v>9</v>
      </c>
      <c r="D60" s="5">
        <f t="shared" si="34"/>
        <v>1</v>
      </c>
      <c r="E60" s="5">
        <f t="shared" si="34"/>
        <v>4</v>
      </c>
      <c r="F60" s="5">
        <f t="shared" si="34"/>
        <v>16</v>
      </c>
      <c r="G60" s="5">
        <f t="shared" si="34"/>
        <v>16</v>
      </c>
      <c r="H60" s="5">
        <f t="shared" si="34"/>
        <v>9</v>
      </c>
      <c r="I60" s="5">
        <f t="shared" si="34"/>
        <v>4</v>
      </c>
      <c r="J60" s="5">
        <f t="shared" si="34"/>
        <v>9</v>
      </c>
      <c r="K60" s="5">
        <f t="shared" si="34"/>
        <v>1</v>
      </c>
      <c r="L60" s="5">
        <f t="shared" si="34"/>
        <v>16</v>
      </c>
      <c r="M60" s="3">
        <f t="shared" si="34"/>
        <v>729</v>
      </c>
    </row>
    <row r="61" spans="2:24" x14ac:dyDescent="0.3">
      <c r="B61" s="6" t="s">
        <v>8</v>
      </c>
      <c r="C61" s="5">
        <f>SUM(C46:C60)</f>
        <v>147</v>
      </c>
      <c r="D61" s="5">
        <f t="shared" ref="D61:H61" si="35">SUM(D46:D60)</f>
        <v>72</v>
      </c>
      <c r="E61" s="5">
        <f t="shared" si="35"/>
        <v>138</v>
      </c>
      <c r="F61" s="5">
        <f t="shared" si="35"/>
        <v>135</v>
      </c>
      <c r="G61" s="5">
        <f t="shared" si="35"/>
        <v>100</v>
      </c>
      <c r="H61" s="5">
        <f t="shared" si="35"/>
        <v>114</v>
      </c>
      <c r="I61" s="5">
        <f>SUM(I46:I60)</f>
        <v>148</v>
      </c>
      <c r="J61" s="5">
        <f>SUM(J46:J60)</f>
        <v>133</v>
      </c>
      <c r="K61" s="5">
        <f t="shared" ref="K61:L61" si="36">SUM(K46:K60)</f>
        <v>104</v>
      </c>
      <c r="L61" s="5">
        <f t="shared" si="36"/>
        <v>153</v>
      </c>
      <c r="M61" s="3">
        <f>SUM(M46:M60)</f>
        <v>11230</v>
      </c>
    </row>
    <row r="63" spans="2:24" x14ac:dyDescent="0.3">
      <c r="B63" s="21" t="s">
        <v>13</v>
      </c>
      <c r="C63" s="19" t="s">
        <v>14</v>
      </c>
      <c r="D63" s="19"/>
      <c r="E63" s="19"/>
      <c r="F63" s="19"/>
      <c r="G63" s="19"/>
      <c r="H63" s="19"/>
      <c r="I63" s="19"/>
      <c r="J63" s="19"/>
      <c r="K63" s="19"/>
      <c r="L63" s="19"/>
      <c r="N63" s="18" t="s">
        <v>44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2:24" x14ac:dyDescent="0.3">
      <c r="B64" s="21"/>
      <c r="C64" s="3">
        <v>1</v>
      </c>
      <c r="D64" s="3">
        <v>2</v>
      </c>
      <c r="E64" s="3">
        <v>3</v>
      </c>
      <c r="F64" s="3">
        <v>4</v>
      </c>
      <c r="G64" s="3">
        <v>5</v>
      </c>
      <c r="H64" s="3">
        <v>6</v>
      </c>
      <c r="I64" s="3">
        <v>7</v>
      </c>
      <c r="J64" s="3">
        <v>8</v>
      </c>
      <c r="K64" s="3">
        <v>9</v>
      </c>
      <c r="L64" s="3">
        <v>10</v>
      </c>
      <c r="N64" s="10" t="s">
        <v>13</v>
      </c>
      <c r="O64" s="10" t="s">
        <v>26</v>
      </c>
      <c r="P64" s="10" t="s">
        <v>27</v>
      </c>
      <c r="Q64" s="10" t="s">
        <v>28</v>
      </c>
      <c r="R64" s="10" t="s">
        <v>29</v>
      </c>
      <c r="S64" s="10" t="s">
        <v>30</v>
      </c>
      <c r="T64" s="10" t="s">
        <v>31</v>
      </c>
      <c r="U64" s="10" t="s">
        <v>32</v>
      </c>
      <c r="V64" s="10" t="s">
        <v>33</v>
      </c>
      <c r="W64" s="10" t="s">
        <v>34</v>
      </c>
      <c r="X64" s="10" t="s">
        <v>35</v>
      </c>
    </row>
    <row r="65" spans="2:24" x14ac:dyDescent="0.3">
      <c r="B65" s="3" t="s">
        <v>17</v>
      </c>
      <c r="C65" s="5">
        <v>15</v>
      </c>
      <c r="D65" s="5">
        <v>15</v>
      </c>
      <c r="E65" s="5">
        <v>15</v>
      </c>
      <c r="F65" s="5">
        <v>15</v>
      </c>
      <c r="G65" s="5">
        <v>15</v>
      </c>
      <c r="H65" s="5">
        <v>15</v>
      </c>
      <c r="I65" s="5">
        <v>15</v>
      </c>
      <c r="J65" s="5">
        <v>15</v>
      </c>
      <c r="K65" s="5">
        <v>15</v>
      </c>
      <c r="L65" s="5">
        <v>15</v>
      </c>
      <c r="N65" s="10" t="s">
        <v>17</v>
      </c>
      <c r="O65" s="5">
        <v>15</v>
      </c>
      <c r="P65" s="5">
        <v>15</v>
      </c>
      <c r="Q65" s="5">
        <v>15</v>
      </c>
      <c r="R65" s="5">
        <v>15</v>
      </c>
      <c r="S65" s="5">
        <v>15</v>
      </c>
      <c r="T65" s="5">
        <v>15</v>
      </c>
      <c r="U65" s="5">
        <v>15</v>
      </c>
      <c r="V65" s="5">
        <v>15</v>
      </c>
      <c r="W65" s="5">
        <v>15</v>
      </c>
      <c r="X65" s="5">
        <v>15</v>
      </c>
    </row>
    <row r="66" spans="2:24" x14ac:dyDescent="0.3">
      <c r="B66" s="3" t="s">
        <v>16</v>
      </c>
      <c r="C66" s="5">
        <f>C18</f>
        <v>45</v>
      </c>
      <c r="D66" s="5">
        <f t="shared" ref="D66:L66" si="37">D18</f>
        <v>30</v>
      </c>
      <c r="E66" s="5">
        <f t="shared" si="37"/>
        <v>44</v>
      </c>
      <c r="F66" s="5">
        <f t="shared" si="37"/>
        <v>43</v>
      </c>
      <c r="G66" s="5">
        <f t="shared" si="37"/>
        <v>36</v>
      </c>
      <c r="H66" s="5">
        <f t="shared" si="37"/>
        <v>40</v>
      </c>
      <c r="I66" s="5">
        <f t="shared" si="37"/>
        <v>46</v>
      </c>
      <c r="J66" s="5">
        <f>J18</f>
        <v>43</v>
      </c>
      <c r="K66" s="5">
        <f t="shared" si="37"/>
        <v>36</v>
      </c>
      <c r="L66" s="5">
        <f t="shared" si="37"/>
        <v>47</v>
      </c>
      <c r="N66" s="10" t="s">
        <v>36</v>
      </c>
      <c r="O66" s="5">
        <v>44</v>
      </c>
      <c r="P66" s="5">
        <v>45</v>
      </c>
      <c r="Q66" s="5">
        <v>43</v>
      </c>
      <c r="R66" s="5">
        <v>48</v>
      </c>
      <c r="S66" s="5">
        <v>49</v>
      </c>
      <c r="T66" s="5">
        <v>45</v>
      </c>
      <c r="U66" s="5">
        <v>44</v>
      </c>
      <c r="V66" s="5">
        <v>43</v>
      </c>
      <c r="W66" s="5">
        <v>49</v>
      </c>
      <c r="X66" s="5">
        <v>48</v>
      </c>
    </row>
    <row r="67" spans="2:24" x14ac:dyDescent="0.3">
      <c r="B67" s="3" t="s">
        <v>15</v>
      </c>
      <c r="C67" s="5">
        <f>$M$18</f>
        <v>410</v>
      </c>
      <c r="D67" s="5">
        <f t="shared" ref="D67:L67" si="38">$M$18</f>
        <v>410</v>
      </c>
      <c r="E67" s="5">
        <f t="shared" si="38"/>
        <v>410</v>
      </c>
      <c r="F67" s="5">
        <f t="shared" si="38"/>
        <v>410</v>
      </c>
      <c r="G67" s="5">
        <f t="shared" si="38"/>
        <v>410</v>
      </c>
      <c r="H67" s="5">
        <f t="shared" si="38"/>
        <v>410</v>
      </c>
      <c r="I67" s="5">
        <f t="shared" si="38"/>
        <v>410</v>
      </c>
      <c r="J67" s="5">
        <f>$M$18</f>
        <v>410</v>
      </c>
      <c r="K67" s="5">
        <f t="shared" si="38"/>
        <v>410</v>
      </c>
      <c r="L67" s="5">
        <f t="shared" si="38"/>
        <v>410</v>
      </c>
      <c r="N67" s="10" t="s">
        <v>37</v>
      </c>
      <c r="O67" s="5">
        <v>458</v>
      </c>
      <c r="P67" s="5">
        <v>458</v>
      </c>
      <c r="Q67" s="5">
        <v>458</v>
      </c>
      <c r="R67" s="5">
        <v>458</v>
      </c>
      <c r="S67" s="5">
        <v>458</v>
      </c>
      <c r="T67" s="5">
        <v>458</v>
      </c>
      <c r="U67" s="5">
        <v>458</v>
      </c>
      <c r="V67" s="5">
        <v>458</v>
      </c>
      <c r="W67" s="5">
        <v>458</v>
      </c>
      <c r="X67" s="5">
        <v>458</v>
      </c>
    </row>
    <row r="68" spans="2:24" x14ac:dyDescent="0.3">
      <c r="B68" s="3" t="s">
        <v>18</v>
      </c>
      <c r="C68" s="5">
        <f>C41</f>
        <v>1226</v>
      </c>
      <c r="D68" s="5">
        <f t="shared" ref="D68:L68" si="39">D41</f>
        <v>830</v>
      </c>
      <c r="E68" s="5">
        <f t="shared" si="39"/>
        <v>1203</v>
      </c>
      <c r="F68" s="5">
        <f t="shared" si="39"/>
        <v>1171</v>
      </c>
      <c r="G68" s="5">
        <f t="shared" si="39"/>
        <v>988</v>
      </c>
      <c r="H68" s="5">
        <f t="shared" si="39"/>
        <v>1098</v>
      </c>
      <c r="I68" s="5">
        <f t="shared" si="39"/>
        <v>1253</v>
      </c>
      <c r="J68" s="5">
        <f t="shared" si="39"/>
        <v>1176</v>
      </c>
      <c r="K68" s="5">
        <f t="shared" si="39"/>
        <v>1000</v>
      </c>
      <c r="L68" s="5">
        <f t="shared" si="39"/>
        <v>1285</v>
      </c>
      <c r="N68" s="10" t="s">
        <v>38</v>
      </c>
      <c r="O68" s="5">
        <v>1377</v>
      </c>
      <c r="P68" s="5">
        <v>1415</v>
      </c>
      <c r="Q68" s="5">
        <v>1372</v>
      </c>
      <c r="R68" s="5">
        <v>1516</v>
      </c>
      <c r="S68" s="5">
        <v>1528</v>
      </c>
      <c r="T68" s="5">
        <v>1434</v>
      </c>
      <c r="U68" s="5">
        <v>1404</v>
      </c>
      <c r="V68" s="5">
        <v>1360</v>
      </c>
      <c r="W68" s="5">
        <v>1507</v>
      </c>
      <c r="X68" s="5">
        <v>1469</v>
      </c>
    </row>
    <row r="69" spans="2:24" x14ac:dyDescent="0.3">
      <c r="B69" s="3" t="s">
        <v>20</v>
      </c>
      <c r="C69" s="5">
        <f>C61</f>
        <v>147</v>
      </c>
      <c r="D69" s="5">
        <f t="shared" ref="D69:L69" si="40">D61</f>
        <v>72</v>
      </c>
      <c r="E69" s="5">
        <f t="shared" si="40"/>
        <v>138</v>
      </c>
      <c r="F69" s="5">
        <f t="shared" si="40"/>
        <v>135</v>
      </c>
      <c r="G69" s="5">
        <f t="shared" si="40"/>
        <v>100</v>
      </c>
      <c r="H69" s="5">
        <f t="shared" si="40"/>
        <v>114</v>
      </c>
      <c r="I69" s="5">
        <f t="shared" si="40"/>
        <v>148</v>
      </c>
      <c r="J69" s="5">
        <f t="shared" si="40"/>
        <v>133</v>
      </c>
      <c r="K69" s="5">
        <f t="shared" si="40"/>
        <v>104</v>
      </c>
      <c r="L69" s="5">
        <f t="shared" si="40"/>
        <v>153</v>
      </c>
      <c r="N69" s="10" t="s">
        <v>39</v>
      </c>
      <c r="O69" s="5">
        <v>140</v>
      </c>
      <c r="P69" s="5">
        <v>145</v>
      </c>
      <c r="Q69" s="5">
        <v>135</v>
      </c>
      <c r="R69" s="5">
        <v>166</v>
      </c>
      <c r="S69" s="5">
        <v>167</v>
      </c>
      <c r="T69" s="5">
        <v>149</v>
      </c>
      <c r="U69" s="5">
        <v>146</v>
      </c>
      <c r="V69" s="5">
        <v>137</v>
      </c>
      <c r="W69" s="5">
        <v>165</v>
      </c>
      <c r="X69" s="5">
        <v>160</v>
      </c>
    </row>
    <row r="70" spans="2:24" x14ac:dyDescent="0.3">
      <c r="B70" s="3" t="s">
        <v>21</v>
      </c>
      <c r="C70" s="5">
        <f>$M$61</f>
        <v>11230</v>
      </c>
      <c r="D70" s="5">
        <f t="shared" ref="D70:L70" si="41">$M$61</f>
        <v>11230</v>
      </c>
      <c r="E70" s="5">
        <f t="shared" si="41"/>
        <v>11230</v>
      </c>
      <c r="F70" s="5">
        <f t="shared" si="41"/>
        <v>11230</v>
      </c>
      <c r="G70" s="5">
        <f t="shared" si="41"/>
        <v>11230</v>
      </c>
      <c r="H70" s="5">
        <f t="shared" si="41"/>
        <v>11230</v>
      </c>
      <c r="I70" s="5">
        <f t="shared" si="41"/>
        <v>11230</v>
      </c>
      <c r="J70" s="5">
        <f t="shared" si="41"/>
        <v>11230</v>
      </c>
      <c r="K70" s="5">
        <f t="shared" si="41"/>
        <v>11230</v>
      </c>
      <c r="L70" s="5">
        <f t="shared" si="41"/>
        <v>11230</v>
      </c>
      <c r="N70" s="10" t="s">
        <v>40</v>
      </c>
      <c r="O70" s="5">
        <v>14382</v>
      </c>
      <c r="P70" s="5">
        <v>14382</v>
      </c>
      <c r="Q70" s="5">
        <v>14382</v>
      </c>
      <c r="R70" s="5">
        <v>14382</v>
      </c>
      <c r="S70" s="5">
        <v>14382</v>
      </c>
      <c r="T70" s="5">
        <v>14382</v>
      </c>
      <c r="U70" s="5">
        <v>14382</v>
      </c>
      <c r="V70" s="5">
        <v>14382</v>
      </c>
      <c r="W70" s="5">
        <v>14382</v>
      </c>
      <c r="X70" s="5">
        <v>14382</v>
      </c>
    </row>
    <row r="71" spans="2:24" x14ac:dyDescent="0.3">
      <c r="B71" s="3" t="s">
        <v>22</v>
      </c>
      <c r="C71" s="5">
        <f>C19</f>
        <v>2025</v>
      </c>
      <c r="D71" s="5">
        <f t="shared" ref="D71:L71" si="42">D19</f>
        <v>900</v>
      </c>
      <c r="E71" s="5">
        <f t="shared" si="42"/>
        <v>1936</v>
      </c>
      <c r="F71" s="5">
        <f t="shared" si="42"/>
        <v>1849</v>
      </c>
      <c r="G71" s="5">
        <f t="shared" si="42"/>
        <v>1296</v>
      </c>
      <c r="H71" s="5">
        <f t="shared" si="42"/>
        <v>1600</v>
      </c>
      <c r="I71" s="5">
        <f t="shared" si="42"/>
        <v>2116</v>
      </c>
      <c r="J71" s="5">
        <f t="shared" si="42"/>
        <v>1849</v>
      </c>
      <c r="K71" s="5">
        <f t="shared" si="42"/>
        <v>1296</v>
      </c>
      <c r="L71" s="5">
        <f t="shared" si="42"/>
        <v>2209</v>
      </c>
      <c r="N71" s="10" t="s">
        <v>41</v>
      </c>
      <c r="O71" s="5">
        <v>1936</v>
      </c>
      <c r="P71" s="5">
        <v>2025</v>
      </c>
      <c r="Q71" s="5">
        <v>1849</v>
      </c>
      <c r="R71" s="5">
        <v>2304</v>
      </c>
      <c r="S71" s="5">
        <v>2401</v>
      </c>
      <c r="T71" s="5">
        <v>2025</v>
      </c>
      <c r="U71" s="5">
        <v>1936</v>
      </c>
      <c r="V71" s="5">
        <v>1849</v>
      </c>
      <c r="W71" s="5">
        <v>2401</v>
      </c>
      <c r="X71" s="5">
        <v>2304</v>
      </c>
    </row>
    <row r="72" spans="2:24" x14ac:dyDescent="0.3">
      <c r="B72" s="3" t="s">
        <v>23</v>
      </c>
      <c r="C72" s="5">
        <f>$M$19</f>
        <v>168100</v>
      </c>
      <c r="D72" s="5">
        <f t="shared" ref="D72:L72" si="43">$M$19</f>
        <v>168100</v>
      </c>
      <c r="E72" s="5">
        <f t="shared" si="43"/>
        <v>168100</v>
      </c>
      <c r="F72" s="5">
        <f t="shared" si="43"/>
        <v>168100</v>
      </c>
      <c r="G72" s="5">
        <f t="shared" si="43"/>
        <v>168100</v>
      </c>
      <c r="H72" s="5">
        <f t="shared" si="43"/>
        <v>168100</v>
      </c>
      <c r="I72" s="5">
        <f t="shared" si="43"/>
        <v>168100</v>
      </c>
      <c r="J72" s="5">
        <f t="shared" si="43"/>
        <v>168100</v>
      </c>
      <c r="K72" s="5">
        <f t="shared" si="43"/>
        <v>168100</v>
      </c>
      <c r="L72" s="5">
        <f t="shared" si="43"/>
        <v>168100</v>
      </c>
      <c r="N72" s="10" t="s">
        <v>42</v>
      </c>
      <c r="O72" s="5">
        <v>209764</v>
      </c>
      <c r="P72" s="5">
        <v>209764</v>
      </c>
      <c r="Q72" s="5">
        <v>209764</v>
      </c>
      <c r="R72" s="5">
        <v>209764</v>
      </c>
      <c r="S72" s="5">
        <v>209764</v>
      </c>
      <c r="T72" s="5">
        <v>209764</v>
      </c>
      <c r="U72" s="5">
        <v>209764</v>
      </c>
      <c r="V72" s="5">
        <v>209764</v>
      </c>
      <c r="W72" s="5">
        <v>209764</v>
      </c>
      <c r="X72" s="5">
        <v>209764</v>
      </c>
    </row>
    <row r="73" spans="2:24" x14ac:dyDescent="0.3">
      <c r="B73" s="11" t="s">
        <v>24</v>
      </c>
      <c r="C73" s="11">
        <f>(C65*C68)-(C66*C67)</f>
        <v>-60</v>
      </c>
      <c r="D73" s="11">
        <f t="shared" ref="D73:L73" si="44">(D65*D68)-(D66*D67)</f>
        <v>150</v>
      </c>
      <c r="E73" s="11">
        <f t="shared" si="44"/>
        <v>5</v>
      </c>
      <c r="F73" s="11">
        <f t="shared" si="44"/>
        <v>-65</v>
      </c>
      <c r="G73" s="11">
        <f t="shared" si="44"/>
        <v>60</v>
      </c>
      <c r="H73" s="11">
        <f t="shared" si="44"/>
        <v>70</v>
      </c>
      <c r="I73" s="11">
        <f t="shared" si="44"/>
        <v>-65</v>
      </c>
      <c r="J73" s="11">
        <f>(J65*J68)-(J66*J67)</f>
        <v>10</v>
      </c>
      <c r="K73" s="11">
        <f t="shared" si="44"/>
        <v>240</v>
      </c>
      <c r="L73" s="11">
        <f t="shared" si="44"/>
        <v>5</v>
      </c>
      <c r="N73" s="9" t="s">
        <v>24</v>
      </c>
      <c r="O73" s="9">
        <f>(O65*O68)-(O66*O67)</f>
        <v>503</v>
      </c>
      <c r="P73" s="9">
        <f t="shared" ref="P73:X73" si="45">(P65*P68)-(P66*P67)</f>
        <v>615</v>
      </c>
      <c r="Q73" s="9">
        <f t="shared" si="45"/>
        <v>886</v>
      </c>
      <c r="R73" s="9">
        <f t="shared" si="45"/>
        <v>756</v>
      </c>
      <c r="S73" s="9">
        <f t="shared" si="45"/>
        <v>478</v>
      </c>
      <c r="T73" s="9">
        <f t="shared" si="45"/>
        <v>900</v>
      </c>
      <c r="U73" s="9">
        <f t="shared" si="45"/>
        <v>908</v>
      </c>
      <c r="V73" s="9">
        <f t="shared" si="45"/>
        <v>706</v>
      </c>
      <c r="W73" s="9">
        <f t="shared" si="45"/>
        <v>163</v>
      </c>
      <c r="X73" s="9">
        <f t="shared" si="45"/>
        <v>51</v>
      </c>
    </row>
    <row r="74" spans="2:24" x14ac:dyDescent="0.3">
      <c r="B74" s="11" t="s">
        <v>25</v>
      </c>
      <c r="C74" s="11">
        <f>SQRT(((C65*C69)-C66^2)*((C65*C70)-C67^2))</f>
        <v>250.99800796022265</v>
      </c>
      <c r="D74" s="11">
        <f t="shared" ref="D74:L74" si="46">SQRT(((D65*D69)-D66^2)*((D65*D70)-D67^2))</f>
        <v>250.99800796022265</v>
      </c>
      <c r="E74" s="11">
        <f t="shared" si="46"/>
        <v>216.56407827707716</v>
      </c>
      <c r="F74" s="11">
        <f t="shared" si="46"/>
        <v>248.19347291981714</v>
      </c>
      <c r="G74" s="11">
        <f t="shared" si="46"/>
        <v>267.20778431774772</v>
      </c>
      <c r="H74" s="11">
        <f t="shared" si="46"/>
        <v>196.21416870348583</v>
      </c>
      <c r="I74" s="11">
        <f t="shared" si="46"/>
        <v>190.78784028338913</v>
      </c>
      <c r="J74" s="11">
        <f>SQRT(((J65*J69)-J66^2)*((J65*J70)-J67^2))</f>
        <v>226.05309110914629</v>
      </c>
      <c r="K74" s="11">
        <f t="shared" si="46"/>
        <v>303.97368307141329</v>
      </c>
      <c r="L74" s="11">
        <f t="shared" si="46"/>
        <v>173.49351572897473</v>
      </c>
      <c r="N74" s="9" t="s">
        <v>25</v>
      </c>
      <c r="O74" s="9">
        <f>SQRT(((O65*O69)-O66^2)*((O65*O70)-O67^2))</f>
        <v>989.15317317390236</v>
      </c>
      <c r="P74" s="9">
        <f t="shared" ref="P74:X74" si="47">SQRT(((P65*P69)-P66^2)*((P65*P70)-P67^2))</f>
        <v>945.99154330258159</v>
      </c>
      <c r="Q74" s="9">
        <f t="shared" si="47"/>
        <v>1024.702883766802</v>
      </c>
      <c r="R74" s="9">
        <f t="shared" si="47"/>
        <v>1053.4116004677373</v>
      </c>
      <c r="S74" s="9">
        <f t="shared" si="47"/>
        <v>787.69537259019114</v>
      </c>
      <c r="T74" s="9">
        <f t="shared" si="47"/>
        <v>1119.3122888631215</v>
      </c>
      <c r="U74" s="9">
        <f t="shared" si="47"/>
        <v>1231.0012185209241</v>
      </c>
      <c r="V74" s="9">
        <f t="shared" si="47"/>
        <v>1108.6009200789977</v>
      </c>
      <c r="W74" s="9">
        <f t="shared" si="47"/>
        <v>664.44262355751982</v>
      </c>
      <c r="X74" s="9">
        <f t="shared" si="47"/>
        <v>756.79323464206527</v>
      </c>
    </row>
    <row r="75" spans="2:24" x14ac:dyDescent="0.3">
      <c r="B75" s="3" t="s">
        <v>45</v>
      </c>
      <c r="C75" s="5">
        <f>C73/C74</f>
        <v>-0.23904572186687875</v>
      </c>
      <c r="D75" s="5">
        <f t="shared" ref="D75:L75" si="48">D73/D74</f>
        <v>0.59761430466719689</v>
      </c>
      <c r="E75" s="5">
        <f t="shared" si="48"/>
        <v>2.3087854826980506E-2</v>
      </c>
      <c r="F75" s="5">
        <f t="shared" si="48"/>
        <v>-0.26189246330824861</v>
      </c>
      <c r="G75" s="5">
        <f t="shared" si="48"/>
        <v>0.22454435656953595</v>
      </c>
      <c r="H75" s="5">
        <f t="shared" si="48"/>
        <v>0.3567530340063379</v>
      </c>
      <c r="I75" s="5">
        <f t="shared" si="48"/>
        <v>-0.34069257193462343</v>
      </c>
      <c r="J75" s="5">
        <f>J73/J74</f>
        <v>4.4237395520380883E-2</v>
      </c>
      <c r="K75" s="5">
        <f t="shared" si="48"/>
        <v>0.78954203395172273</v>
      </c>
      <c r="L75" s="5">
        <f t="shared" si="48"/>
        <v>2.8819520885211749E-2</v>
      </c>
      <c r="N75" s="5" t="s">
        <v>43</v>
      </c>
      <c r="O75" s="5">
        <f>O73/O74</f>
        <v>0.50851578263255282</v>
      </c>
      <c r="P75" s="5">
        <f t="shared" ref="P75:X75" si="49">P73/P74</f>
        <v>0.650111519869357</v>
      </c>
      <c r="Q75" s="5">
        <f t="shared" si="49"/>
        <v>0.8646408769174817</v>
      </c>
      <c r="R75" s="5">
        <f t="shared" si="49"/>
        <v>0.71766819319658126</v>
      </c>
      <c r="S75" s="5">
        <f t="shared" si="49"/>
        <v>0.60683357632048163</v>
      </c>
      <c r="T75" s="5">
        <f t="shared" si="49"/>
        <v>0.80406514692528253</v>
      </c>
      <c r="U75" s="5">
        <f t="shared" si="49"/>
        <v>0.73761096767311296</v>
      </c>
      <c r="V75" s="5">
        <f t="shared" si="49"/>
        <v>0.6368387281779373</v>
      </c>
      <c r="W75" s="5">
        <f t="shared" si="49"/>
        <v>0.24531839803905856</v>
      </c>
      <c r="X75" s="5">
        <f t="shared" si="49"/>
        <v>6.7389608766945552E-2</v>
      </c>
    </row>
    <row r="79" spans="2:24" ht="43.2" x14ac:dyDescent="0.3">
      <c r="N79" s="15" t="s">
        <v>47</v>
      </c>
      <c r="R79" s="13" t="s">
        <v>14</v>
      </c>
      <c r="S79" s="13" t="s">
        <v>43</v>
      </c>
      <c r="T79" s="13" t="str">
        <f>"Hubungan dengan r table "&amp;N81</f>
        <v>Hubungan dengan r table 0.553</v>
      </c>
      <c r="U79" s="13" t="s">
        <v>46</v>
      </c>
    </row>
    <row r="80" spans="2:24" x14ac:dyDescent="0.3">
      <c r="N80" s="16" t="s">
        <v>66</v>
      </c>
      <c r="R80" s="3">
        <v>1</v>
      </c>
      <c r="S80" s="5">
        <f>C$75</f>
        <v>-0.23904572186687875</v>
      </c>
      <c r="T80" s="5" t="str">
        <f>IF(S80&gt;=$N$81,"lebih dari","kurang dari")</f>
        <v>kurang dari</v>
      </c>
      <c r="U80" s="5" t="str">
        <f>IF(S80&gt;=$N$81,"valid","tidak")</f>
        <v>tidak</v>
      </c>
    </row>
    <row r="81" spans="14:21" x14ac:dyDescent="0.3">
      <c r="N81" s="17">
        <f>0.553</f>
        <v>0.55300000000000005</v>
      </c>
      <c r="R81" s="3">
        <v>2</v>
      </c>
      <c r="S81" s="5">
        <f>D75</f>
        <v>0.59761430466719689</v>
      </c>
      <c r="T81" s="5" t="str">
        <f t="shared" ref="T81:T85" si="50">IF(S81&gt;=$N$81,"lebih dari","kurang dari")</f>
        <v>lebih dari</v>
      </c>
      <c r="U81" s="5" t="str">
        <f t="shared" ref="U81:U85" si="51">IF(S81&gt;=$N$81,"valid","tidak")</f>
        <v>valid</v>
      </c>
    </row>
    <row r="82" spans="14:21" x14ac:dyDescent="0.3">
      <c r="R82" s="3">
        <v>3</v>
      </c>
      <c r="S82" s="5">
        <f>E75</f>
        <v>2.3087854826980506E-2</v>
      </c>
      <c r="T82" s="5" t="str">
        <f t="shared" si="50"/>
        <v>kurang dari</v>
      </c>
      <c r="U82" s="5" t="str">
        <f t="shared" si="51"/>
        <v>tidak</v>
      </c>
    </row>
    <row r="83" spans="14:21" x14ac:dyDescent="0.3">
      <c r="R83" s="3">
        <v>4</v>
      </c>
      <c r="S83" s="5">
        <f>F75</f>
        <v>-0.26189246330824861</v>
      </c>
      <c r="T83" s="5" t="str">
        <f t="shared" si="50"/>
        <v>kurang dari</v>
      </c>
      <c r="U83" s="5" t="str">
        <f t="shared" si="51"/>
        <v>tidak</v>
      </c>
    </row>
    <row r="84" spans="14:21" x14ac:dyDescent="0.3">
      <c r="R84" s="3">
        <v>5</v>
      </c>
      <c r="S84" s="5">
        <f>G75</f>
        <v>0.22454435656953595</v>
      </c>
      <c r="T84" s="5" t="str">
        <f t="shared" si="50"/>
        <v>kurang dari</v>
      </c>
      <c r="U84" s="5" t="str">
        <f t="shared" si="51"/>
        <v>tidak</v>
      </c>
    </row>
    <row r="85" spans="14:21" x14ac:dyDescent="0.3">
      <c r="R85" s="3">
        <v>6</v>
      </c>
      <c r="S85" s="5">
        <f>H75</f>
        <v>0.3567530340063379</v>
      </c>
      <c r="T85" s="5" t="str">
        <f t="shared" si="50"/>
        <v>kurang dari</v>
      </c>
      <c r="U85" s="5" t="str">
        <f t="shared" si="51"/>
        <v>tidak</v>
      </c>
    </row>
    <row r="86" spans="14:21" x14ac:dyDescent="0.3">
      <c r="R86" s="3">
        <v>7</v>
      </c>
      <c r="S86" s="5">
        <f>I75</f>
        <v>-0.34069257193462343</v>
      </c>
      <c r="T86" s="5" t="str">
        <f t="shared" ref="T86:T89" si="52">IF(S86&gt;=$N$81,"lebih dari","kurang dari")</f>
        <v>kurang dari</v>
      </c>
      <c r="U86" s="5" t="str">
        <f t="shared" ref="U86:U89" si="53">IF(S86&gt;=$N$81,"valid","tidak")</f>
        <v>tidak</v>
      </c>
    </row>
    <row r="87" spans="14:21" x14ac:dyDescent="0.3">
      <c r="R87" s="3">
        <v>8</v>
      </c>
      <c r="S87" s="5">
        <f>J75</f>
        <v>4.4237395520380883E-2</v>
      </c>
      <c r="T87" s="5" t="str">
        <f t="shared" si="52"/>
        <v>kurang dari</v>
      </c>
      <c r="U87" s="5" t="str">
        <f t="shared" si="53"/>
        <v>tidak</v>
      </c>
    </row>
    <row r="88" spans="14:21" x14ac:dyDescent="0.3">
      <c r="R88" s="3">
        <v>9</v>
      </c>
      <c r="S88" s="5">
        <f>K75</f>
        <v>0.78954203395172273</v>
      </c>
      <c r="T88" s="5" t="str">
        <f t="shared" si="52"/>
        <v>lebih dari</v>
      </c>
      <c r="U88" s="5" t="str">
        <f t="shared" si="53"/>
        <v>valid</v>
      </c>
    </row>
    <row r="89" spans="14:21" x14ac:dyDescent="0.3">
      <c r="R89" s="3">
        <v>10</v>
      </c>
      <c r="S89" s="5">
        <f>L75</f>
        <v>2.8819520885211749E-2</v>
      </c>
      <c r="T89" s="5" t="str">
        <f t="shared" si="52"/>
        <v>kurang dari</v>
      </c>
      <c r="U89" s="5" t="str">
        <f t="shared" si="53"/>
        <v>tidak</v>
      </c>
    </row>
    <row r="91" spans="14:21" x14ac:dyDescent="0.3">
      <c r="R91" s="12" t="str">
        <f>"Jadi kesimpulan nya ada "&amp;(COUNTIF(U80:U89,"valid"))&amp;" valid dan "&amp;(COUNTIF(U80:U89,"tidak"))&amp;" tidak valid"</f>
        <v>Jadi kesimpulan nya ada 2 valid dan 8 tidak valid</v>
      </c>
    </row>
  </sheetData>
  <mergeCells count="8">
    <mergeCell ref="N63:X63"/>
    <mergeCell ref="B24:B25"/>
    <mergeCell ref="B44:B45"/>
    <mergeCell ref="M44:M45"/>
    <mergeCell ref="B63:B64"/>
    <mergeCell ref="C24:L24"/>
    <mergeCell ref="C44:L44"/>
    <mergeCell ref="C63:L63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2025-11-09T02:25:06Z</dcterms:created>
  <dcterms:modified xsi:type="dcterms:W3CDTF">2025-11-26T08:51:48Z</dcterms:modified>
</cp:coreProperties>
</file>