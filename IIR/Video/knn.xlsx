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kuliah\IIR\Video\"/>
    </mc:Choice>
  </mc:AlternateContent>
  <bookViews>
    <workbookView xWindow="0" yWindow="0" windowWidth="17976" windowHeight="45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9" i="1" l="1"/>
  <c r="AB8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T24" i="1" l="1"/>
  <c r="U24" i="1" s="1"/>
  <c r="V24" i="1" s="1"/>
  <c r="Z24" i="1" s="1"/>
  <c r="T16" i="1"/>
  <c r="T8" i="1"/>
  <c r="T15" i="1"/>
  <c r="T7" i="1"/>
  <c r="T14" i="1"/>
  <c r="T6" i="1"/>
  <c r="T21" i="1"/>
  <c r="U21" i="1" s="1"/>
  <c r="V21" i="1" s="1"/>
  <c r="AA21" i="1" s="1"/>
  <c r="T13" i="1"/>
  <c r="T5" i="1"/>
  <c r="T30" i="1"/>
  <c r="U30" i="1" s="1"/>
  <c r="V30" i="1" s="1"/>
  <c r="Z30" i="1" s="1"/>
  <c r="T28" i="1"/>
  <c r="U28" i="1" s="1"/>
  <c r="V28" i="1" s="1"/>
  <c r="Z28" i="1" s="1"/>
  <c r="T29" i="1"/>
  <c r="U29" i="1" s="1"/>
  <c r="V29" i="1" s="1"/>
  <c r="Z29" i="1" s="1"/>
  <c r="T20" i="1"/>
  <c r="T27" i="1"/>
  <c r="U27" i="1" s="1"/>
  <c r="V27" i="1" s="1"/>
  <c r="Z27" i="1" s="1"/>
  <c r="T19" i="1"/>
  <c r="T11" i="1"/>
  <c r="T22" i="1"/>
  <c r="U22" i="1" s="1"/>
  <c r="V22" i="1" s="1"/>
  <c r="Y22" i="1" s="1"/>
  <c r="T12" i="1"/>
  <c r="T26" i="1"/>
  <c r="U26" i="1" s="1"/>
  <c r="V26" i="1" s="1"/>
  <c r="Y26" i="1" s="1"/>
  <c r="T18" i="1"/>
  <c r="T10" i="1"/>
  <c r="T17" i="1"/>
  <c r="T9" i="1"/>
  <c r="AA24" i="1"/>
  <c r="W22" i="1"/>
  <c r="AA22" i="1"/>
  <c r="T25" i="1"/>
  <c r="U25" i="1" s="1"/>
  <c r="V25" i="1" s="1"/>
  <c r="T31" i="1"/>
  <c r="U31" i="1" s="1"/>
  <c r="V31" i="1" s="1"/>
  <c r="Y31" i="1" s="1"/>
  <c r="T23" i="1"/>
  <c r="U23" i="1" s="1"/>
  <c r="V23" i="1" s="1"/>
  <c r="Y23" i="1" s="1"/>
  <c r="S4" i="1"/>
  <c r="R4" i="1"/>
  <c r="Q4" i="1"/>
  <c r="P4" i="1"/>
  <c r="O4" i="1"/>
  <c r="X24" i="1" l="1"/>
  <c r="Z22" i="1"/>
  <c r="X22" i="1"/>
  <c r="X28" i="1"/>
  <c r="W28" i="1"/>
  <c r="W29" i="1"/>
  <c r="AA29" i="1"/>
  <c r="Y29" i="1"/>
  <c r="Y21" i="1"/>
  <c r="Y24" i="1"/>
  <c r="W21" i="1"/>
  <c r="X21" i="1"/>
  <c r="AA26" i="1"/>
  <c r="Z21" i="1"/>
  <c r="W24" i="1"/>
  <c r="Z26" i="1"/>
  <c r="AA30" i="1"/>
  <c r="X30" i="1"/>
  <c r="Y30" i="1"/>
  <c r="W30" i="1"/>
  <c r="W27" i="1"/>
  <c r="AA27" i="1"/>
  <c r="Y28" i="1"/>
  <c r="W26" i="1"/>
  <c r="AA28" i="1"/>
  <c r="X27" i="1"/>
  <c r="X26" i="1"/>
  <c r="X29" i="1"/>
  <c r="Y27" i="1"/>
  <c r="X23" i="1"/>
  <c r="Z23" i="1"/>
  <c r="W23" i="1"/>
  <c r="AA23" i="1"/>
  <c r="W25" i="1"/>
  <c r="X25" i="1"/>
  <c r="Z25" i="1"/>
  <c r="AA25" i="1"/>
  <c r="X31" i="1"/>
  <c r="Z31" i="1"/>
  <c r="W31" i="1"/>
  <c r="AA31" i="1"/>
  <c r="Y25" i="1"/>
  <c r="U5" i="1"/>
  <c r="V5" i="1" s="1"/>
  <c r="W5" i="1" s="1"/>
  <c r="U17" i="1"/>
  <c r="V17" i="1" s="1"/>
  <c r="Z17" i="1" s="1"/>
  <c r="U9" i="1"/>
  <c r="V9" i="1" s="1"/>
  <c r="Z9" i="1" s="1"/>
  <c r="U19" i="1"/>
  <c r="V19" i="1" s="1"/>
  <c r="Z19" i="1" s="1"/>
  <c r="U15" i="1"/>
  <c r="V15" i="1" s="1"/>
  <c r="Y15" i="1" s="1"/>
  <c r="U13" i="1"/>
  <c r="V13" i="1" s="1"/>
  <c r="Y13" i="1" s="1"/>
  <c r="U11" i="1"/>
  <c r="V11" i="1" s="1"/>
  <c r="Z11" i="1" s="1"/>
  <c r="U7" i="1"/>
  <c r="V7" i="1" s="1"/>
  <c r="Z7" i="1" s="1"/>
  <c r="U18" i="1"/>
  <c r="V18" i="1" s="1"/>
  <c r="W18" i="1" s="1"/>
  <c r="U14" i="1"/>
  <c r="V14" i="1" s="1"/>
  <c r="W14" i="1" s="1"/>
  <c r="U10" i="1"/>
  <c r="V10" i="1" s="1"/>
  <c r="U6" i="1"/>
  <c r="V6" i="1" s="1"/>
  <c r="W6" i="1" s="1"/>
  <c r="U20" i="1"/>
  <c r="V20" i="1" s="1"/>
  <c r="W20" i="1" s="1"/>
  <c r="U16" i="1"/>
  <c r="V16" i="1" s="1"/>
  <c r="W16" i="1" s="1"/>
  <c r="U12" i="1"/>
  <c r="V12" i="1" s="1"/>
  <c r="U8" i="1"/>
  <c r="V8" i="1" s="1"/>
  <c r="W8" i="1" s="1"/>
  <c r="T4" i="1"/>
  <c r="U4" i="1" s="1"/>
  <c r="V4" i="1" s="1"/>
  <c r="AA17" i="1" l="1"/>
  <c r="X17" i="1"/>
  <c r="X9" i="1"/>
  <c r="Z5" i="1"/>
  <c r="X5" i="1"/>
  <c r="W7" i="1"/>
  <c r="AA5" i="1"/>
  <c r="Y5" i="1"/>
  <c r="Y7" i="1"/>
  <c r="AA9" i="1"/>
  <c r="Z15" i="1"/>
  <c r="X19" i="1"/>
  <c r="W19" i="1"/>
  <c r="Y19" i="1"/>
  <c r="Y17" i="1"/>
  <c r="AA19" i="1"/>
  <c r="X7" i="1"/>
  <c r="X15" i="1"/>
  <c r="AA15" i="1"/>
  <c r="W9" i="1"/>
  <c r="W17" i="1"/>
  <c r="Y9" i="1"/>
  <c r="AA7" i="1"/>
  <c r="AA13" i="1"/>
  <c r="W15" i="1"/>
  <c r="W13" i="1"/>
  <c r="W11" i="1"/>
  <c r="Z13" i="1"/>
  <c r="Y11" i="1"/>
  <c r="AA11" i="1"/>
  <c r="X13" i="1"/>
  <c r="X11" i="1"/>
  <c r="AA12" i="1"/>
  <c r="Y12" i="1"/>
  <c r="X12" i="1"/>
  <c r="Z12" i="1"/>
  <c r="AA10" i="1"/>
  <c r="Y10" i="1"/>
  <c r="X10" i="1"/>
  <c r="Z10" i="1"/>
  <c r="AA8" i="1"/>
  <c r="Y8" i="1"/>
  <c r="X8" i="1"/>
  <c r="Z8" i="1"/>
  <c r="AA14" i="1"/>
  <c r="Y14" i="1"/>
  <c r="X14" i="1"/>
  <c r="Z14" i="1"/>
  <c r="AA6" i="1"/>
  <c r="Y6" i="1"/>
  <c r="X6" i="1"/>
  <c r="Z6" i="1"/>
  <c r="AA16" i="1"/>
  <c r="Y16" i="1"/>
  <c r="X16" i="1"/>
  <c r="Z16" i="1"/>
  <c r="AA20" i="1"/>
  <c r="Y20" i="1"/>
  <c r="X20" i="1"/>
  <c r="Z20" i="1"/>
  <c r="AA18" i="1"/>
  <c r="Y18" i="1"/>
  <c r="X18" i="1"/>
  <c r="Z18" i="1"/>
  <c r="W12" i="1"/>
  <c r="W10" i="1"/>
  <c r="Y4" i="1"/>
  <c r="Z4" i="1"/>
  <c r="X4" i="1"/>
  <c r="AA4" i="1"/>
  <c r="W4" i="1"/>
  <c r="N38" i="1" l="1"/>
  <c r="S42" i="1"/>
  <c r="S40" i="1"/>
  <c r="S41" i="1"/>
  <c r="N40" i="1"/>
  <c r="N39" i="1"/>
  <c r="N42" i="1"/>
  <c r="N41" i="1"/>
  <c r="N50" i="1" l="1"/>
  <c r="N48" i="1"/>
  <c r="N49" i="1"/>
  <c r="N51" i="1"/>
  <c r="O51" i="1" l="1"/>
  <c r="Q51" i="1" s="1"/>
  <c r="O50" i="1"/>
  <c r="Q50" i="1" s="1"/>
  <c r="O49" i="1"/>
  <c r="Q49" i="1" s="1"/>
  <c r="O48" i="1"/>
  <c r="Q48" i="1" s="1"/>
</calcChain>
</file>

<file path=xl/sharedStrings.xml><?xml version="1.0" encoding="utf-8"?>
<sst xmlns="http://schemas.openxmlformats.org/spreadsheetml/2006/main" count="208" uniqueCount="77">
  <si>
    <t>D1</t>
  </si>
  <si>
    <t>D2</t>
  </si>
  <si>
    <t>D3</t>
  </si>
  <si>
    <t>D4</t>
  </si>
  <si>
    <t>T1</t>
  </si>
  <si>
    <t>Tokenizing</t>
  </si>
  <si>
    <t>Stopword removal</t>
  </si>
  <si>
    <t>No</t>
  </si>
  <si>
    <t>Term</t>
  </si>
  <si>
    <t>Stemming</t>
  </si>
  <si>
    <t>D5</t>
  </si>
  <si>
    <t>Preprocesing</t>
  </si>
  <si>
    <t>R</t>
  </si>
  <si>
    <t>D/R</t>
  </si>
  <si>
    <t>Log(D/R)</t>
  </si>
  <si>
    <t>TF * DF</t>
  </si>
  <si>
    <t>Data</t>
  </si>
  <si>
    <t xml:space="preserve">Cosine Similarity </t>
  </si>
  <si>
    <t>|Ds|</t>
  </si>
  <si>
    <t>|D1|</t>
  </si>
  <si>
    <t>|D2|</t>
  </si>
  <si>
    <t>|D3|</t>
  </si>
  <si>
    <t>|D4|</t>
  </si>
  <si>
    <t>D5 * D1</t>
  </si>
  <si>
    <t>D5 * D2</t>
  </si>
  <si>
    <t>D5 * D3</t>
  </si>
  <si>
    <t>D5 * D4</t>
  </si>
  <si>
    <t>Hasil</t>
  </si>
  <si>
    <t>Rank</t>
  </si>
  <si>
    <t>K-NN</t>
  </si>
  <si>
    <t>Sim(Ds . D1)</t>
  </si>
  <si>
    <t>Sim(Ds . D2)</t>
  </si>
  <si>
    <t>Sim(Ds . D3)</t>
  </si>
  <si>
    <t>Sim(Ds . D4)</t>
  </si>
  <si>
    <t>IR</t>
  </si>
  <si>
    <t>Jarkom</t>
  </si>
  <si>
    <t>Image</t>
  </si>
  <si>
    <t xml:space="preserve">Image </t>
  </si>
  <si>
    <t>Text</t>
  </si>
  <si>
    <t>mining</t>
  </si>
  <si>
    <t>memilah</t>
  </si>
  <si>
    <t>artikel</t>
  </si>
  <si>
    <t>berita</t>
  </si>
  <si>
    <t>di</t>
  </si>
  <si>
    <t>internet</t>
  </si>
  <si>
    <t>Analisis</t>
  </si>
  <si>
    <t>kuantitatif</t>
  </si>
  <si>
    <t>pada</t>
  </si>
  <si>
    <t>citra</t>
  </si>
  <si>
    <t>mikroskopik</t>
  </si>
  <si>
    <t>digital</t>
  </si>
  <si>
    <t>Purwarupa</t>
  </si>
  <si>
    <t>penghitung</t>
  </si>
  <si>
    <t>jasa</t>
  </si>
  <si>
    <t>printer</t>
  </si>
  <si>
    <t>berbasis</t>
  </si>
  <si>
    <t>Simulasi</t>
  </si>
  <si>
    <t>protokol</t>
  </si>
  <si>
    <t>routing</t>
  </si>
  <si>
    <t>jaringan</t>
  </si>
  <si>
    <t>sensor</t>
  </si>
  <si>
    <t>nirkabel</t>
  </si>
  <si>
    <t>Proses</t>
  </si>
  <si>
    <t>clustering</t>
  </si>
  <si>
    <t>digunakan</t>
  </si>
  <si>
    <t>untuk</t>
  </si>
  <si>
    <t>mengelola</t>
  </si>
  <si>
    <t>pilah</t>
  </si>
  <si>
    <t>hitung</t>
  </si>
  <si>
    <t>basis</t>
  </si>
  <si>
    <t>guna</t>
  </si>
  <si>
    <t>kelola</t>
  </si>
  <si>
    <t>Text mining memilah artikel berita di internet</t>
  </si>
  <si>
    <t>Analisis kuantitatif pada citra mikroskopik digital</t>
  </si>
  <si>
    <t>Simulasi protokol routing jaringan sensor nirkabel</t>
  </si>
  <si>
    <t>Purwarupa mengelola penghitung jasa printer berbasis citra</t>
  </si>
  <si>
    <t>Proses clustering digunakan untuk mengelola berita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</si>
</sst>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0.0000"/>
    <numFmt numFmtId="166" formatCode="0.000"/>
    <numFmt numFmtId="167" formatCode="_(* #,##0.000_);_(* \(#,##0.00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theme="9"/>
        <bgColor theme="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4" xfId="0" applyBorder="1"/>
    <xf numFmtId="0" fontId="0" fillId="3" borderId="2" xfId="0" applyFill="1" applyBorder="1"/>
    <xf numFmtId="0" fontId="0" fillId="3" borderId="3" xfId="0" applyFill="1" applyBorder="1"/>
    <xf numFmtId="0" fontId="7" fillId="0" borderId="1" xfId="0" applyFont="1" applyBorder="1"/>
    <xf numFmtId="0" fontId="7" fillId="2" borderId="1" xfId="0" applyFont="1" applyFill="1" applyBorder="1"/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4" fillId="0" borderId="1" xfId="0" applyNumberFormat="1" applyFont="1" applyBorder="1" applyAlignment="1">
      <alignment horizontal="left"/>
    </xf>
    <xf numFmtId="167" fontId="0" fillId="7" borderId="1" xfId="1" applyNumberFormat="1" applyFont="1" applyFill="1" applyBorder="1"/>
    <xf numFmtId="0" fontId="4" fillId="0" borderId="1" xfId="0" applyFont="1" applyBorder="1"/>
    <xf numFmtId="0" fontId="4" fillId="8" borderId="1" xfId="0" applyFont="1" applyFill="1" applyBorder="1"/>
    <xf numFmtId="166" fontId="4" fillId="8" borderId="1" xfId="0" applyNumberFormat="1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6" fontId="4" fillId="0" borderId="1" xfId="0" applyNumberFormat="1" applyFont="1" applyBorder="1"/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8" fillId="2" borderId="1" xfId="0" applyFont="1" applyFill="1" applyBorder="1"/>
    <xf numFmtId="0" fontId="3" fillId="0" borderId="3" xfId="2" applyBorder="1" applyAlignment="1">
      <alignment horizontal="center"/>
    </xf>
    <xf numFmtId="0" fontId="3" fillId="0" borderId="2" xfId="2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9" fillId="0" borderId="2" xfId="0" applyFont="1" applyFill="1" applyBorder="1"/>
    <xf numFmtId="0" fontId="9" fillId="0" borderId="3" xfId="0" applyFont="1" applyFill="1" applyBorder="1"/>
    <xf numFmtId="0" fontId="9" fillId="3" borderId="2" xfId="0" applyFont="1" applyFill="1" applyBorder="1"/>
    <xf numFmtId="0" fontId="9" fillId="9" borderId="3" xfId="0" applyFont="1" applyFill="1" applyBorder="1"/>
    <xf numFmtId="0" fontId="9" fillId="9" borderId="2" xfId="0" applyFont="1" applyFill="1" applyBorder="1"/>
    <xf numFmtId="0" fontId="0" fillId="9" borderId="3" xfId="0" applyFill="1" applyBorder="1"/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8" xfId="0" applyFont="1" applyBorder="1" applyAlignment="1">
      <alignment horizontal="center"/>
    </xf>
    <xf numFmtId="167" fontId="0" fillId="0" borderId="0" xfId="0" applyNumberFormat="1"/>
    <xf numFmtId="43" fontId="0" fillId="0" borderId="0" xfId="0" applyNumberFormat="1"/>
    <xf numFmtId="0" fontId="0" fillId="7" borderId="5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10" fillId="0" borderId="1" xfId="0" applyFont="1" applyBorder="1"/>
    <xf numFmtId="0" fontId="10" fillId="0" borderId="2" xfId="0" applyFont="1" applyBorder="1"/>
    <xf numFmtId="0" fontId="10" fillId="0" borderId="8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0" fillId="0" borderId="2" xfId="0" applyFont="1" applyBorder="1" applyAlignment="1">
      <alignment horizontal="left"/>
    </xf>
    <xf numFmtId="167" fontId="0" fillId="9" borderId="1" xfId="1" applyNumberFormat="1" applyFont="1" applyFill="1" applyBorder="1" applyAlignment="1">
      <alignment horizontal="center" vertical="center"/>
    </xf>
  </cellXfs>
  <cellStyles count="3">
    <cellStyle name="Comma" xfId="1" builtinId="3"/>
    <cellStyle name="Explanatory Text" xfId="2" builtinId="53"/>
    <cellStyle name="Normal" xfId="0" builtinId="0"/>
  </cellStyles>
  <dxfs count="19"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599741</xdr:colOff>
      <xdr:row>8</xdr:row>
      <xdr:rowOff>137015</xdr:rowOff>
    </xdr:from>
    <xdr:to>
      <xdr:col>11</xdr:col>
      <xdr:colOff>409941</xdr:colOff>
      <xdr:row>10</xdr:row>
      <xdr:rowOff>167059</xdr:rowOff>
    </xdr:to>
    <xdr:sp macro="" textlink="">
      <xdr:nvSpPr>
        <xdr:cNvPr id="7" name="Right Arrow 4"/>
        <xdr:cNvSpPr txBox="1"/>
      </xdr:nvSpPr>
      <xdr:spPr>
        <a:xfrm>
          <a:off x="7905976" y="2501456"/>
          <a:ext cx="415318" cy="411044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0" tIns="0" rIns="0" bIns="0" numCol="1" spcCol="1270" anchor="ctr" anchorCtr="0">
          <a:noAutofit/>
        </a:bodyPr>
        <a:lstStyle/>
        <a:p>
          <a:pPr lvl="0" algn="ctr" defTabSz="1289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n-US" sz="2900" kern="1200"/>
        </a:p>
      </xdr:txBody>
    </xdr:sp>
    <xdr:clientData/>
  </xdr:twoCellAnchor>
  <xdr:twoCellAnchor>
    <xdr:from>
      <xdr:col>18</xdr:col>
      <xdr:colOff>415490</xdr:colOff>
      <xdr:row>11</xdr:row>
      <xdr:rowOff>137015</xdr:rowOff>
    </xdr:from>
    <xdr:to>
      <xdr:col>19</xdr:col>
      <xdr:colOff>235324</xdr:colOff>
      <xdr:row>13</xdr:row>
      <xdr:rowOff>167059</xdr:rowOff>
    </xdr:to>
    <xdr:sp macro="" textlink="">
      <xdr:nvSpPr>
        <xdr:cNvPr id="5" name="Right Arrow 6"/>
        <xdr:cNvSpPr txBox="1"/>
      </xdr:nvSpPr>
      <xdr:spPr>
        <a:xfrm>
          <a:off x="11957549" y="2501456"/>
          <a:ext cx="424951" cy="411044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0" tIns="0" rIns="0" bIns="0" numCol="1" spcCol="1270" anchor="ctr" anchorCtr="0">
          <a:noAutofit/>
        </a:bodyPr>
        <a:lstStyle/>
        <a:p>
          <a:pPr lvl="0" algn="ctr" defTabSz="1289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n-US" sz="2900" kern="1200"/>
        </a:p>
      </xdr:txBody>
    </xdr:sp>
    <xdr:clientData/>
  </xdr:twoCellAnchor>
  <xdr:twoCellAnchor>
    <xdr:from>
      <xdr:col>3</xdr:col>
      <xdr:colOff>156883</xdr:colOff>
      <xdr:row>16</xdr:row>
      <xdr:rowOff>0</xdr:rowOff>
    </xdr:from>
    <xdr:to>
      <xdr:col>3</xdr:col>
      <xdr:colOff>750194</xdr:colOff>
      <xdr:row>19</xdr:row>
      <xdr:rowOff>113574</xdr:rowOff>
    </xdr:to>
    <xdr:sp macro="" textlink="">
      <xdr:nvSpPr>
        <xdr:cNvPr id="8" name="Right Arrow 7"/>
        <xdr:cNvSpPr/>
      </xdr:nvSpPr>
      <xdr:spPr>
        <a:xfrm>
          <a:off x="2308412" y="3316941"/>
          <a:ext cx="593311" cy="685074"/>
        </a:xfrm>
        <a:prstGeom prst="rightArrow">
          <a:avLst>
            <a:gd name="adj1" fmla="val 60000"/>
            <a:gd name="adj2" fmla="val 50000"/>
          </a:avLst>
        </a:prstGeom>
      </xdr:spPr>
      <xdr:style>
        <a:lnRef idx="0">
          <a:schemeClr val="lt1">
            <a:hueOff val="0"/>
            <a:satOff val="0"/>
            <a:lumOff val="0"/>
            <a:alphaOff val="0"/>
          </a:schemeClr>
        </a:lnRef>
        <a:fillRef idx="3">
          <a:schemeClr val="accent4">
            <a:hueOff val="0"/>
            <a:satOff val="0"/>
            <a:lumOff val="0"/>
            <a:alphaOff val="0"/>
          </a:schemeClr>
        </a:fillRef>
        <a:effectRef idx="2">
          <a:schemeClr val="accent4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6</xdr:col>
      <xdr:colOff>201706</xdr:colOff>
      <xdr:row>16</xdr:row>
      <xdr:rowOff>22411</xdr:rowOff>
    </xdr:from>
    <xdr:to>
      <xdr:col>6</xdr:col>
      <xdr:colOff>795618</xdr:colOff>
      <xdr:row>19</xdr:row>
      <xdr:rowOff>102368</xdr:rowOff>
    </xdr:to>
    <xdr:sp macro="" textlink="">
      <xdr:nvSpPr>
        <xdr:cNvPr id="9" name="Right Arrow 8"/>
        <xdr:cNvSpPr/>
      </xdr:nvSpPr>
      <xdr:spPr>
        <a:xfrm>
          <a:off x="4740088" y="3339352"/>
          <a:ext cx="593912" cy="651457"/>
        </a:xfrm>
        <a:prstGeom prst="rightArrow">
          <a:avLst>
            <a:gd name="adj1" fmla="val 60000"/>
            <a:gd name="adj2" fmla="val 50000"/>
          </a:avLst>
        </a:prstGeom>
      </xdr:spPr>
      <xdr:style>
        <a:lnRef idx="0">
          <a:schemeClr val="lt1">
            <a:hueOff val="0"/>
            <a:satOff val="0"/>
            <a:lumOff val="0"/>
            <a:alphaOff val="0"/>
          </a:schemeClr>
        </a:lnRef>
        <a:fillRef idx="3">
          <a:schemeClr val="accent4">
            <a:hueOff val="10395692"/>
            <a:satOff val="-47968"/>
            <a:lumOff val="1765"/>
            <a:alphaOff val="0"/>
          </a:schemeClr>
        </a:fillRef>
        <a:effectRef idx="2">
          <a:schemeClr val="accent4">
            <a:hueOff val="10395692"/>
            <a:satOff val="-47968"/>
            <a:lumOff val="1765"/>
            <a:alphaOff val="0"/>
          </a:schemeClr>
        </a:effectRef>
        <a:fontRef idx="minor">
          <a:schemeClr val="lt1"/>
        </a:fontRef>
      </xdr:style>
    </xdr:sp>
    <xdr:clientData/>
  </xdr:twoCellAnchor>
</xdr:wsDr>
</file>

<file path=xl/tables/table1.xml><?xml version="1.0" encoding="utf-8"?>
<table xmlns="http://schemas.openxmlformats.org/spreadsheetml/2006/main" id="3" name="Table3" displayName="Table3" ref="B10:C41" totalsRowShown="0" headerRowDxfId="6" headerRowBorderDxfId="4" tableBorderDxfId="5" totalsRowBorderDxfId="3">
  <autoFilter ref="B10:C41"/>
  <tableColumns count="2">
    <tableColumn id="1" name="No" dataDxfId="2"/>
    <tableColumn id="2" name="Term" dataDxfId="1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id="4" name="Table4" displayName="Table4" ref="E10:F41" totalsRowShown="0" headerRowDxfId="18" headerRowBorderDxfId="17" tableBorderDxfId="16" totalsRowBorderDxfId="15">
  <autoFilter ref="E10:F41"/>
  <tableColumns count="2">
    <tableColumn id="1" name="No" dataDxfId="14"/>
    <tableColumn id="2" name="Term" dataDxfId="1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5" name="Table46" displayName="Table46" ref="H10:I41" totalsRowShown="0" headerRowDxfId="12" headerRowBorderDxfId="11" tableBorderDxfId="10" totalsRowBorderDxfId="9">
  <autoFilter ref="H10:I41"/>
  <tableColumns count="2">
    <tableColumn id="1" name="No" dataDxfId="8"/>
    <tableColumn id="2" name="Term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51"/>
  <sheetViews>
    <sheetView tabSelected="1" zoomScale="85" zoomScaleNormal="85" workbookViewId="0">
      <selection activeCell="I7" sqref="I7"/>
    </sheetView>
  </sheetViews>
  <sheetFormatPr defaultRowHeight="14.4" x14ac:dyDescent="0.3"/>
  <cols>
    <col min="2" max="2" width="6.109375" bestFit="1" customWidth="1"/>
    <col min="3" max="3" width="17" customWidth="1"/>
    <col min="4" max="4" width="12.109375" customWidth="1"/>
    <col min="5" max="5" width="6.109375" bestFit="1" customWidth="1"/>
    <col min="6" max="6" width="18.77734375" customWidth="1"/>
    <col min="7" max="7" width="13.5546875" customWidth="1"/>
    <col min="8" max="8" width="6.109375" bestFit="1" customWidth="1"/>
    <col min="9" max="9" width="13.6640625" customWidth="1"/>
    <col min="12" max="12" width="3.6640625" bestFit="1" customWidth="1"/>
    <col min="13" max="13" width="11.44140625" bestFit="1" customWidth="1"/>
    <col min="14" max="14" width="13.109375" bestFit="1" customWidth="1"/>
    <col min="15" max="18" width="3.5546875" bestFit="1" customWidth="1"/>
    <col min="19" max="19" width="8" bestFit="1" customWidth="1"/>
    <col min="20" max="20" width="3.5546875" customWidth="1"/>
    <col min="21" max="21" width="4.5546875" bestFit="1" customWidth="1"/>
    <col min="22" max="22" width="8.88671875" bestFit="1" customWidth="1"/>
    <col min="23" max="23" width="7.5546875" bestFit="1" customWidth="1"/>
    <col min="24" max="27" width="7" bestFit="1" customWidth="1"/>
  </cols>
  <sheetData>
    <row r="2" spans="2:28" ht="18" x14ac:dyDescent="0.35">
      <c r="B2" s="10" t="s">
        <v>0</v>
      </c>
      <c r="C2" s="45" t="s">
        <v>72</v>
      </c>
      <c r="D2" s="45"/>
      <c r="E2" s="45"/>
      <c r="F2" s="45"/>
      <c r="G2" s="45"/>
      <c r="H2" s="45"/>
      <c r="I2" s="10" t="s">
        <v>34</v>
      </c>
      <c r="L2" s="37" t="s">
        <v>7</v>
      </c>
      <c r="M2" s="36" t="s">
        <v>8</v>
      </c>
      <c r="N2" s="36" t="s">
        <v>11</v>
      </c>
      <c r="O2" s="37" t="s">
        <v>16</v>
      </c>
      <c r="P2" s="37"/>
      <c r="Q2" s="37"/>
      <c r="R2" s="37"/>
      <c r="S2" s="37"/>
      <c r="T2" s="44" t="s">
        <v>12</v>
      </c>
      <c r="U2" s="44" t="s">
        <v>13</v>
      </c>
      <c r="V2" s="44" t="s">
        <v>14</v>
      </c>
      <c r="W2" s="37" t="s">
        <v>15</v>
      </c>
      <c r="X2" s="37"/>
      <c r="Y2" s="37"/>
      <c r="Z2" s="37"/>
      <c r="AA2" s="37"/>
    </row>
    <row r="3" spans="2:28" ht="18" x14ac:dyDescent="0.35">
      <c r="B3" s="61" t="s">
        <v>1</v>
      </c>
      <c r="C3" s="64" t="s">
        <v>75</v>
      </c>
      <c r="D3" s="63"/>
      <c r="E3" s="63"/>
      <c r="F3" s="63"/>
      <c r="G3" s="63"/>
      <c r="H3" s="65"/>
      <c r="I3" s="62" t="s">
        <v>37</v>
      </c>
      <c r="L3" s="37"/>
      <c r="M3" s="36"/>
      <c r="N3" s="36"/>
      <c r="O3" s="13" t="s">
        <v>0</v>
      </c>
      <c r="P3" s="13" t="s">
        <v>1</v>
      </c>
      <c r="Q3" s="13" t="s">
        <v>2</v>
      </c>
      <c r="R3" s="13" t="s">
        <v>3</v>
      </c>
      <c r="S3" s="13" t="s">
        <v>10</v>
      </c>
      <c r="T3" s="44"/>
      <c r="U3" s="44"/>
      <c r="V3" s="44"/>
      <c r="W3" s="12" t="s">
        <v>0</v>
      </c>
      <c r="X3" s="12" t="s">
        <v>1</v>
      </c>
      <c r="Y3" s="12" t="s">
        <v>2</v>
      </c>
      <c r="Z3" s="12" t="s">
        <v>3</v>
      </c>
      <c r="AA3" s="12" t="s">
        <v>10</v>
      </c>
    </row>
    <row r="4" spans="2:28" ht="18" x14ac:dyDescent="0.35">
      <c r="B4" s="61" t="s">
        <v>2</v>
      </c>
      <c r="C4" s="64" t="s">
        <v>73</v>
      </c>
      <c r="D4" s="63"/>
      <c r="E4" s="63"/>
      <c r="F4" s="63"/>
      <c r="G4" s="63"/>
      <c r="H4" s="65"/>
      <c r="I4" s="62" t="s">
        <v>36</v>
      </c>
      <c r="L4" s="1">
        <v>1</v>
      </c>
      <c r="M4" s="1" t="s">
        <v>38</v>
      </c>
      <c r="N4" s="1" t="s">
        <v>38</v>
      </c>
      <c r="O4" s="13">
        <f>COUNTIF($C$2,"*"&amp;LOWER($M4)&amp;"*")</f>
        <v>1</v>
      </c>
      <c r="P4" s="13">
        <f>COUNTIF($C$3,"*"&amp;LOWER($M4)&amp;"*")</f>
        <v>0</v>
      </c>
      <c r="Q4" s="13">
        <f>COUNTIF($C$4,"*"&amp;LOWER($M4)&amp;"*")</f>
        <v>0</v>
      </c>
      <c r="R4" s="13">
        <f>COUNTIF($C$5,"*"&amp;LOWER($M4)&amp;"*")</f>
        <v>0</v>
      </c>
      <c r="S4" s="13">
        <f>COUNTIF($C$6,"*"&amp;LOWER($M4)&amp;"*")</f>
        <v>0</v>
      </c>
      <c r="T4" s="13">
        <f>COUNTIF(O4:S4,"&gt;0")</f>
        <v>1</v>
      </c>
      <c r="U4" s="13">
        <f>5/T4</f>
        <v>5</v>
      </c>
      <c r="V4" s="14">
        <f>LOG(U4)</f>
        <v>0.69897000433601886</v>
      </c>
      <c r="W4" s="16">
        <f>O4*$V4</f>
        <v>0.69897000433601886</v>
      </c>
      <c r="X4" s="16">
        <f>P4*$V4</f>
        <v>0</v>
      </c>
      <c r="Y4" s="16">
        <f>Q4*$V4</f>
        <v>0</v>
      </c>
      <c r="Z4" s="16">
        <f>R4*$V4</f>
        <v>0</v>
      </c>
      <c r="AA4" s="16">
        <f>S4*$V4</f>
        <v>0</v>
      </c>
    </row>
    <row r="5" spans="2:28" ht="18" x14ac:dyDescent="0.35">
      <c r="B5" s="10" t="s">
        <v>3</v>
      </c>
      <c r="C5" s="45" t="s">
        <v>74</v>
      </c>
      <c r="D5" s="45"/>
      <c r="E5" s="45"/>
      <c r="F5" s="45"/>
      <c r="G5" s="45"/>
      <c r="H5" s="45"/>
      <c r="I5" s="10" t="s">
        <v>35</v>
      </c>
      <c r="L5" s="1">
        <v>2</v>
      </c>
      <c r="M5" s="1" t="s">
        <v>39</v>
      </c>
      <c r="N5" s="1" t="s">
        <v>39</v>
      </c>
      <c r="O5" s="17">
        <f t="shared" ref="O5:O31" si="0">COUNTIF($C$2,"*"&amp;LOWER($M5)&amp;"*")</f>
        <v>1</v>
      </c>
      <c r="P5" s="17">
        <f t="shared" ref="P5:P31" si="1">COUNTIF($C$3,"*"&amp;LOWER($M5)&amp;"*")</f>
        <v>0</v>
      </c>
      <c r="Q5" s="17">
        <f t="shared" ref="Q5:Q31" si="2">COUNTIF($C$4,"*"&amp;LOWER($M5)&amp;"*")</f>
        <v>0</v>
      </c>
      <c r="R5" s="17">
        <f t="shared" ref="R5:R31" si="3">COUNTIF($C$5,"*"&amp;LOWER($M5)&amp;"*")</f>
        <v>0</v>
      </c>
      <c r="S5" s="17">
        <f t="shared" ref="S5:S31" si="4">COUNTIF($C$6,"*"&amp;LOWER($M5)&amp;"*")</f>
        <v>0</v>
      </c>
      <c r="T5" s="17">
        <f t="shared" ref="T5:T31" si="5">COUNTIF(O5:S5,"&gt;0")</f>
        <v>1</v>
      </c>
      <c r="U5" s="13">
        <f t="shared" ref="U5:U31" si="6">5/T5</f>
        <v>5</v>
      </c>
      <c r="V5" s="14">
        <f t="shared" ref="V5:V31" si="7">LOG(U5)</f>
        <v>0.69897000433601886</v>
      </c>
      <c r="W5" s="16">
        <f t="shared" ref="W5:W20" si="8">O5*$V5</f>
        <v>0.69897000433601886</v>
      </c>
      <c r="X5" s="16">
        <f t="shared" ref="X5:X20" si="9">P5*$V5</f>
        <v>0</v>
      </c>
      <c r="Y5" s="16">
        <f t="shared" ref="Y5:Y20" si="10">Q5*$V5</f>
        <v>0</v>
      </c>
      <c r="Z5" s="16">
        <f t="shared" ref="Z5:Z20" si="11">R5*$V5</f>
        <v>0</v>
      </c>
      <c r="AA5" s="16">
        <f t="shared" ref="AA5:AA20" si="12">S5*$V5</f>
        <v>0</v>
      </c>
    </row>
    <row r="6" spans="2:28" ht="18" x14ac:dyDescent="0.35">
      <c r="B6" s="11" t="s">
        <v>4</v>
      </c>
      <c r="C6" s="45" t="s">
        <v>76</v>
      </c>
      <c r="D6" s="45"/>
      <c r="E6" s="45"/>
      <c r="F6" s="45"/>
      <c r="G6" s="45"/>
      <c r="H6" s="45"/>
      <c r="I6" s="30" t="s">
        <v>36</v>
      </c>
      <c r="L6" s="1">
        <v>3</v>
      </c>
      <c r="M6" s="1" t="s">
        <v>40</v>
      </c>
      <c r="N6" s="1" t="s">
        <v>67</v>
      </c>
      <c r="O6" s="17">
        <f t="shared" si="0"/>
        <v>1</v>
      </c>
      <c r="P6" s="17">
        <f t="shared" si="1"/>
        <v>0</v>
      </c>
      <c r="Q6" s="17">
        <f t="shared" si="2"/>
        <v>0</v>
      </c>
      <c r="R6" s="17">
        <f t="shared" si="3"/>
        <v>0</v>
      </c>
      <c r="S6" s="17">
        <f t="shared" si="4"/>
        <v>0</v>
      </c>
      <c r="T6" s="17">
        <f t="shared" si="5"/>
        <v>1</v>
      </c>
      <c r="U6" s="13">
        <f t="shared" si="6"/>
        <v>5</v>
      </c>
      <c r="V6" s="14">
        <f t="shared" si="7"/>
        <v>0.69897000433601886</v>
      </c>
      <c r="W6" s="16">
        <f t="shared" si="8"/>
        <v>0.69897000433601886</v>
      </c>
      <c r="X6" s="16">
        <f t="shared" si="9"/>
        <v>0</v>
      </c>
      <c r="Y6" s="16">
        <f t="shared" si="10"/>
        <v>0</v>
      </c>
      <c r="Z6" s="16">
        <f t="shared" si="11"/>
        <v>0</v>
      </c>
      <c r="AA6" s="16">
        <f t="shared" si="12"/>
        <v>0</v>
      </c>
    </row>
    <row r="7" spans="2:28" x14ac:dyDescent="0.3">
      <c r="L7" s="1">
        <v>4</v>
      </c>
      <c r="M7" s="1" t="s">
        <v>41</v>
      </c>
      <c r="N7" s="1" t="s">
        <v>41</v>
      </c>
      <c r="O7" s="17">
        <f t="shared" si="0"/>
        <v>1</v>
      </c>
      <c r="P7" s="17">
        <f t="shared" si="1"/>
        <v>0</v>
      </c>
      <c r="Q7" s="17">
        <f t="shared" si="2"/>
        <v>0</v>
      </c>
      <c r="R7" s="17">
        <f t="shared" si="3"/>
        <v>0</v>
      </c>
      <c r="S7" s="17">
        <f t="shared" si="4"/>
        <v>0</v>
      </c>
      <c r="T7" s="17">
        <f t="shared" si="5"/>
        <v>1</v>
      </c>
      <c r="U7" s="13">
        <f t="shared" si="6"/>
        <v>5</v>
      </c>
      <c r="V7" s="14">
        <f t="shared" si="7"/>
        <v>0.69897000433601886</v>
      </c>
      <c r="W7" s="16">
        <f t="shared" si="8"/>
        <v>0.69897000433601886</v>
      </c>
      <c r="X7" s="16">
        <f t="shared" si="9"/>
        <v>0</v>
      </c>
      <c r="Y7" s="16">
        <f t="shared" si="10"/>
        <v>0</v>
      </c>
      <c r="Z7" s="16">
        <f t="shared" si="11"/>
        <v>0</v>
      </c>
      <c r="AA7" s="16">
        <f t="shared" si="12"/>
        <v>0</v>
      </c>
    </row>
    <row r="8" spans="2:28" x14ac:dyDescent="0.3">
      <c r="L8" s="1">
        <v>5</v>
      </c>
      <c r="M8" s="1" t="s">
        <v>42</v>
      </c>
      <c r="N8" s="1" t="s">
        <v>42</v>
      </c>
      <c r="O8" s="17">
        <f t="shared" si="0"/>
        <v>1</v>
      </c>
      <c r="P8" s="17">
        <f t="shared" si="1"/>
        <v>0</v>
      </c>
      <c r="Q8" s="17">
        <f t="shared" si="2"/>
        <v>0</v>
      </c>
      <c r="R8" s="17">
        <f t="shared" si="3"/>
        <v>0</v>
      </c>
      <c r="S8" s="17">
        <f t="shared" si="4"/>
        <v>1</v>
      </c>
      <c r="T8" s="17">
        <f t="shared" si="5"/>
        <v>2</v>
      </c>
      <c r="U8" s="13">
        <f t="shared" si="6"/>
        <v>2.5</v>
      </c>
      <c r="V8" s="14">
        <f t="shared" si="7"/>
        <v>0.3979400086720376</v>
      </c>
      <c r="W8" s="66">
        <f t="shared" si="8"/>
        <v>0.3979400086720376</v>
      </c>
      <c r="X8" s="66">
        <f t="shared" si="9"/>
        <v>0</v>
      </c>
      <c r="Y8" s="66">
        <f t="shared" si="10"/>
        <v>0</v>
      </c>
      <c r="Z8" s="66">
        <f t="shared" si="11"/>
        <v>0</v>
      </c>
      <c r="AA8" s="66">
        <f t="shared" si="12"/>
        <v>0.3979400086720376</v>
      </c>
      <c r="AB8" s="57">
        <f>AA8^2</f>
        <v>0.15835625050190136</v>
      </c>
    </row>
    <row r="9" spans="2:28" ht="18.75" customHeight="1" x14ac:dyDescent="0.35">
      <c r="B9" s="38" t="s">
        <v>5</v>
      </c>
      <c r="C9" s="39"/>
      <c r="E9" s="40" t="s">
        <v>6</v>
      </c>
      <c r="F9" s="41"/>
      <c r="H9" s="42" t="s">
        <v>9</v>
      </c>
      <c r="I9" s="43"/>
      <c r="L9" s="1">
        <v>6</v>
      </c>
      <c r="M9" s="1" t="s">
        <v>44</v>
      </c>
      <c r="N9" s="1" t="s">
        <v>44</v>
      </c>
      <c r="O9" s="17">
        <f t="shared" si="0"/>
        <v>1</v>
      </c>
      <c r="P9" s="17">
        <f t="shared" si="1"/>
        <v>0</v>
      </c>
      <c r="Q9" s="17">
        <f t="shared" si="2"/>
        <v>0</v>
      </c>
      <c r="R9" s="17">
        <f t="shared" si="3"/>
        <v>0</v>
      </c>
      <c r="S9" s="17">
        <f t="shared" si="4"/>
        <v>0</v>
      </c>
      <c r="T9" s="17">
        <f t="shared" si="5"/>
        <v>1</v>
      </c>
      <c r="U9" s="13">
        <f t="shared" si="6"/>
        <v>5</v>
      </c>
      <c r="V9" s="14">
        <f t="shared" si="7"/>
        <v>0.69897000433601886</v>
      </c>
      <c r="W9" s="16">
        <f t="shared" si="8"/>
        <v>0.69897000433601886</v>
      </c>
      <c r="X9" s="16">
        <f t="shared" si="9"/>
        <v>0</v>
      </c>
      <c r="Y9" s="16">
        <f t="shared" si="10"/>
        <v>0</v>
      </c>
      <c r="Z9" s="16">
        <f t="shared" si="11"/>
        <v>0</v>
      </c>
      <c r="AA9" s="16">
        <f t="shared" si="12"/>
        <v>0</v>
      </c>
    </row>
    <row r="10" spans="2:28" x14ac:dyDescent="0.3">
      <c r="B10" s="7" t="s">
        <v>7</v>
      </c>
      <c r="C10" s="6" t="s">
        <v>8</v>
      </c>
      <c r="E10" s="7" t="s">
        <v>7</v>
      </c>
      <c r="F10" s="6" t="s">
        <v>8</v>
      </c>
      <c r="H10" s="7" t="s">
        <v>7</v>
      </c>
      <c r="I10" s="6" t="s">
        <v>8</v>
      </c>
      <c r="L10" s="1">
        <v>7</v>
      </c>
      <c r="M10" s="1" t="s">
        <v>45</v>
      </c>
      <c r="N10" s="1" t="s">
        <v>45</v>
      </c>
      <c r="O10" s="17">
        <f t="shared" si="0"/>
        <v>0</v>
      </c>
      <c r="P10" s="17">
        <f t="shared" si="1"/>
        <v>0</v>
      </c>
      <c r="Q10" s="17">
        <f t="shared" si="2"/>
        <v>1</v>
      </c>
      <c r="R10" s="17">
        <f t="shared" si="3"/>
        <v>0</v>
      </c>
      <c r="S10" s="17">
        <f t="shared" si="4"/>
        <v>0</v>
      </c>
      <c r="T10" s="17">
        <f t="shared" si="5"/>
        <v>1</v>
      </c>
      <c r="U10" s="13">
        <f t="shared" si="6"/>
        <v>5</v>
      </c>
      <c r="V10" s="14">
        <f t="shared" si="7"/>
        <v>0.69897000433601886</v>
      </c>
      <c r="W10" s="16">
        <f t="shared" si="8"/>
        <v>0</v>
      </c>
      <c r="X10" s="16">
        <f t="shared" si="9"/>
        <v>0</v>
      </c>
      <c r="Y10" s="16">
        <f t="shared" si="10"/>
        <v>0.69897000433601886</v>
      </c>
      <c r="Z10" s="16">
        <f t="shared" si="11"/>
        <v>0</v>
      </c>
      <c r="AA10" s="16">
        <f t="shared" si="12"/>
        <v>0</v>
      </c>
    </row>
    <row r="11" spans="2:28" x14ac:dyDescent="0.3">
      <c r="B11" s="2">
        <v>1</v>
      </c>
      <c r="C11" s="3" t="s">
        <v>38</v>
      </c>
      <c r="E11" s="2">
        <v>1</v>
      </c>
      <c r="F11" s="3" t="s">
        <v>38</v>
      </c>
      <c r="H11" s="46">
        <v>1</v>
      </c>
      <c r="I11" s="47" t="s">
        <v>38</v>
      </c>
      <c r="L11" s="1">
        <v>8</v>
      </c>
      <c r="M11" s="1" t="s">
        <v>46</v>
      </c>
      <c r="N11" s="1" t="s">
        <v>46</v>
      </c>
      <c r="O11" s="17">
        <f t="shared" si="0"/>
        <v>0</v>
      </c>
      <c r="P11" s="17">
        <f t="shared" si="1"/>
        <v>0</v>
      </c>
      <c r="Q11" s="17">
        <f t="shared" si="2"/>
        <v>1</v>
      </c>
      <c r="R11" s="17">
        <f t="shared" si="3"/>
        <v>0</v>
      </c>
      <c r="S11" s="17">
        <f t="shared" si="4"/>
        <v>0</v>
      </c>
      <c r="T11" s="17">
        <f t="shared" si="5"/>
        <v>1</v>
      </c>
      <c r="U11" s="13">
        <f t="shared" si="6"/>
        <v>5</v>
      </c>
      <c r="V11" s="14">
        <f t="shared" si="7"/>
        <v>0.69897000433601886</v>
      </c>
      <c r="W11" s="16">
        <f t="shared" si="8"/>
        <v>0</v>
      </c>
      <c r="X11" s="16">
        <f t="shared" si="9"/>
        <v>0</v>
      </c>
      <c r="Y11" s="16">
        <f t="shared" si="10"/>
        <v>0.69897000433601886</v>
      </c>
      <c r="Z11" s="16">
        <f t="shared" si="11"/>
        <v>0</v>
      </c>
      <c r="AA11" s="16">
        <f t="shared" si="12"/>
        <v>0</v>
      </c>
    </row>
    <row r="12" spans="2:28" x14ac:dyDescent="0.3">
      <c r="B12" s="2">
        <v>2</v>
      </c>
      <c r="C12" s="3" t="s">
        <v>39</v>
      </c>
      <c r="E12" s="2">
        <v>2</v>
      </c>
      <c r="F12" s="3" t="s">
        <v>39</v>
      </c>
      <c r="H12" s="46">
        <v>2</v>
      </c>
      <c r="I12" s="47" t="s">
        <v>39</v>
      </c>
      <c r="L12" s="1">
        <v>9</v>
      </c>
      <c r="M12" s="1" t="s">
        <v>48</v>
      </c>
      <c r="N12" s="1" t="s">
        <v>48</v>
      </c>
      <c r="O12" s="17">
        <f t="shared" si="0"/>
        <v>0</v>
      </c>
      <c r="P12" s="17">
        <f t="shared" si="1"/>
        <v>1</v>
      </c>
      <c r="Q12" s="17">
        <f t="shared" si="2"/>
        <v>1</v>
      </c>
      <c r="R12" s="17">
        <f t="shared" si="3"/>
        <v>0</v>
      </c>
      <c r="S12" s="17">
        <f t="shared" si="4"/>
        <v>0</v>
      </c>
      <c r="T12" s="17">
        <f t="shared" si="5"/>
        <v>2</v>
      </c>
      <c r="U12" s="13">
        <f t="shared" si="6"/>
        <v>2.5</v>
      </c>
      <c r="V12" s="14">
        <f t="shared" si="7"/>
        <v>0.3979400086720376</v>
      </c>
      <c r="W12" s="16">
        <f t="shared" si="8"/>
        <v>0</v>
      </c>
      <c r="X12" s="16">
        <f t="shared" si="9"/>
        <v>0.3979400086720376</v>
      </c>
      <c r="Y12" s="16">
        <f t="shared" si="10"/>
        <v>0.3979400086720376</v>
      </c>
      <c r="Z12" s="16">
        <f t="shared" si="11"/>
        <v>0</v>
      </c>
      <c r="AA12" s="16">
        <f t="shared" si="12"/>
        <v>0</v>
      </c>
    </row>
    <row r="13" spans="2:28" x14ac:dyDescent="0.3">
      <c r="B13" s="2">
        <v>3</v>
      </c>
      <c r="C13" s="3" t="s">
        <v>40</v>
      </c>
      <c r="E13" s="2">
        <v>3</v>
      </c>
      <c r="F13" s="47" t="s">
        <v>40</v>
      </c>
      <c r="H13" s="50">
        <v>3</v>
      </c>
      <c r="I13" s="49" t="s">
        <v>67</v>
      </c>
      <c r="L13" s="1">
        <v>10</v>
      </c>
      <c r="M13" s="1" t="s">
        <v>49</v>
      </c>
      <c r="N13" s="1" t="s">
        <v>49</v>
      </c>
      <c r="O13" s="17">
        <f t="shared" si="0"/>
        <v>0</v>
      </c>
      <c r="P13" s="17">
        <f t="shared" si="1"/>
        <v>0</v>
      </c>
      <c r="Q13" s="17">
        <f t="shared" si="2"/>
        <v>1</v>
      </c>
      <c r="R13" s="17">
        <f t="shared" si="3"/>
        <v>0</v>
      </c>
      <c r="S13" s="17">
        <f t="shared" si="4"/>
        <v>0</v>
      </c>
      <c r="T13" s="17">
        <f t="shared" si="5"/>
        <v>1</v>
      </c>
      <c r="U13" s="13">
        <f t="shared" si="6"/>
        <v>5</v>
      </c>
      <c r="V13" s="14">
        <f t="shared" si="7"/>
        <v>0.69897000433601886</v>
      </c>
      <c r="W13" s="16">
        <f t="shared" si="8"/>
        <v>0</v>
      </c>
      <c r="X13" s="16">
        <f t="shared" si="9"/>
        <v>0</v>
      </c>
      <c r="Y13" s="16">
        <f t="shared" si="10"/>
        <v>0.69897000433601886</v>
      </c>
      <c r="Z13" s="16">
        <f t="shared" si="11"/>
        <v>0</v>
      </c>
      <c r="AA13" s="16">
        <f t="shared" si="12"/>
        <v>0</v>
      </c>
    </row>
    <row r="14" spans="2:28" x14ac:dyDescent="0.3">
      <c r="B14" s="2">
        <v>4</v>
      </c>
      <c r="C14" s="3" t="s">
        <v>41</v>
      </c>
      <c r="E14" s="2">
        <v>4</v>
      </c>
      <c r="F14" s="47" t="s">
        <v>41</v>
      </c>
      <c r="H14" s="46">
        <v>4</v>
      </c>
      <c r="I14" s="47" t="s">
        <v>41</v>
      </c>
      <c r="L14" s="1">
        <v>11</v>
      </c>
      <c r="M14" s="1" t="s">
        <v>50</v>
      </c>
      <c r="N14" s="1" t="s">
        <v>50</v>
      </c>
      <c r="O14" s="17">
        <f t="shared" si="0"/>
        <v>0</v>
      </c>
      <c r="P14" s="17">
        <f t="shared" si="1"/>
        <v>0</v>
      </c>
      <c r="Q14" s="17">
        <f t="shared" si="2"/>
        <v>1</v>
      </c>
      <c r="R14" s="17">
        <f t="shared" si="3"/>
        <v>0</v>
      </c>
      <c r="S14" s="17">
        <f t="shared" si="4"/>
        <v>1</v>
      </c>
      <c r="T14" s="17">
        <f t="shared" si="5"/>
        <v>2</v>
      </c>
      <c r="U14" s="13">
        <f t="shared" si="6"/>
        <v>2.5</v>
      </c>
      <c r="V14" s="14">
        <f t="shared" si="7"/>
        <v>0.3979400086720376</v>
      </c>
      <c r="W14" s="16">
        <f t="shared" si="8"/>
        <v>0</v>
      </c>
      <c r="X14" s="16">
        <f t="shared" si="9"/>
        <v>0</v>
      </c>
      <c r="Y14" s="16">
        <f t="shared" si="10"/>
        <v>0.3979400086720376</v>
      </c>
      <c r="Z14" s="16">
        <f t="shared" si="11"/>
        <v>0</v>
      </c>
      <c r="AA14" s="16">
        <f t="shared" si="12"/>
        <v>0.3979400086720376</v>
      </c>
    </row>
    <row r="15" spans="2:28" x14ac:dyDescent="0.3">
      <c r="B15" s="2">
        <v>5</v>
      </c>
      <c r="C15" s="3" t="s">
        <v>42</v>
      </c>
      <c r="E15" s="2">
        <v>5</v>
      </c>
      <c r="F15" s="47" t="s">
        <v>42</v>
      </c>
      <c r="H15" s="46">
        <v>5</v>
      </c>
      <c r="I15" s="47" t="s">
        <v>42</v>
      </c>
      <c r="L15" s="1">
        <v>12</v>
      </c>
      <c r="M15" s="1" t="s">
        <v>51</v>
      </c>
      <c r="N15" s="1" t="s">
        <v>51</v>
      </c>
      <c r="O15" s="17">
        <f t="shared" si="0"/>
        <v>0</v>
      </c>
      <c r="P15" s="17">
        <f t="shared" si="1"/>
        <v>1</v>
      </c>
      <c r="Q15" s="17">
        <f t="shared" si="2"/>
        <v>0</v>
      </c>
      <c r="R15" s="17">
        <f t="shared" si="3"/>
        <v>0</v>
      </c>
      <c r="S15" s="17">
        <f t="shared" si="4"/>
        <v>0</v>
      </c>
      <c r="T15" s="17">
        <f t="shared" si="5"/>
        <v>1</v>
      </c>
      <c r="U15" s="13">
        <f t="shared" si="6"/>
        <v>5</v>
      </c>
      <c r="V15" s="14">
        <f t="shared" si="7"/>
        <v>0.69897000433601886</v>
      </c>
      <c r="W15" s="16">
        <f t="shared" si="8"/>
        <v>0</v>
      </c>
      <c r="X15" s="16">
        <f t="shared" si="9"/>
        <v>0.69897000433601886</v>
      </c>
      <c r="Y15" s="16">
        <f t="shared" si="10"/>
        <v>0</v>
      </c>
      <c r="Z15" s="16">
        <f t="shared" si="11"/>
        <v>0</v>
      </c>
      <c r="AA15" s="16">
        <f t="shared" si="12"/>
        <v>0</v>
      </c>
    </row>
    <row r="16" spans="2:28" x14ac:dyDescent="0.3">
      <c r="B16" s="2">
        <v>6</v>
      </c>
      <c r="C16" s="3" t="s">
        <v>43</v>
      </c>
      <c r="E16" s="8">
        <v>6</v>
      </c>
      <c r="F16" s="9" t="s">
        <v>43</v>
      </c>
      <c r="H16" s="48">
        <v>6</v>
      </c>
      <c r="I16" s="9" t="s">
        <v>43</v>
      </c>
      <c r="L16" s="1">
        <v>13</v>
      </c>
      <c r="M16" s="1" t="s">
        <v>52</v>
      </c>
      <c r="N16" s="1" t="s">
        <v>68</v>
      </c>
      <c r="O16" s="17">
        <f t="shared" si="0"/>
        <v>0</v>
      </c>
      <c r="P16" s="17">
        <f t="shared" si="1"/>
        <v>1</v>
      </c>
      <c r="Q16" s="17">
        <f t="shared" si="2"/>
        <v>0</v>
      </c>
      <c r="R16" s="17">
        <f t="shared" si="3"/>
        <v>0</v>
      </c>
      <c r="S16" s="17">
        <f t="shared" si="4"/>
        <v>0</v>
      </c>
      <c r="T16" s="17">
        <f t="shared" si="5"/>
        <v>1</v>
      </c>
      <c r="U16" s="13">
        <f t="shared" si="6"/>
        <v>5</v>
      </c>
      <c r="V16" s="14">
        <f t="shared" si="7"/>
        <v>0.69897000433601886</v>
      </c>
      <c r="W16" s="16">
        <f t="shared" si="8"/>
        <v>0</v>
      </c>
      <c r="X16" s="16">
        <f t="shared" si="9"/>
        <v>0.69897000433601886</v>
      </c>
      <c r="Y16" s="16">
        <f t="shared" si="10"/>
        <v>0</v>
      </c>
      <c r="Z16" s="16">
        <f t="shared" si="11"/>
        <v>0</v>
      </c>
      <c r="AA16" s="16">
        <f t="shared" si="12"/>
        <v>0</v>
      </c>
    </row>
    <row r="17" spans="2:27" x14ac:dyDescent="0.3">
      <c r="B17" s="2">
        <v>7</v>
      </c>
      <c r="C17" s="3" t="s">
        <v>44</v>
      </c>
      <c r="E17" s="2">
        <v>7</v>
      </c>
      <c r="F17" s="3" t="s">
        <v>44</v>
      </c>
      <c r="H17" s="46">
        <v>7</v>
      </c>
      <c r="I17" s="3" t="s">
        <v>44</v>
      </c>
      <c r="L17" s="1">
        <v>14</v>
      </c>
      <c r="M17" s="1" t="s">
        <v>53</v>
      </c>
      <c r="N17" s="1" t="s">
        <v>53</v>
      </c>
      <c r="O17" s="17">
        <f t="shared" si="0"/>
        <v>0</v>
      </c>
      <c r="P17" s="17">
        <f t="shared" si="1"/>
        <v>1</v>
      </c>
      <c r="Q17" s="17">
        <f t="shared" si="2"/>
        <v>0</v>
      </c>
      <c r="R17" s="17">
        <f t="shared" si="3"/>
        <v>0</v>
      </c>
      <c r="S17" s="17">
        <f t="shared" si="4"/>
        <v>0</v>
      </c>
      <c r="T17" s="17">
        <f t="shared" si="5"/>
        <v>1</v>
      </c>
      <c r="U17" s="13">
        <f t="shared" si="6"/>
        <v>5</v>
      </c>
      <c r="V17" s="14">
        <f t="shared" si="7"/>
        <v>0.69897000433601886</v>
      </c>
      <c r="W17" s="16">
        <f t="shared" si="8"/>
        <v>0</v>
      </c>
      <c r="X17" s="16">
        <f t="shared" si="9"/>
        <v>0.69897000433601886</v>
      </c>
      <c r="Y17" s="16">
        <f t="shared" si="10"/>
        <v>0</v>
      </c>
      <c r="Z17" s="16">
        <f t="shared" si="11"/>
        <v>0</v>
      </c>
      <c r="AA17" s="16">
        <f t="shared" si="12"/>
        <v>0</v>
      </c>
    </row>
    <row r="18" spans="2:27" x14ac:dyDescent="0.3">
      <c r="B18" s="2">
        <v>8</v>
      </c>
      <c r="C18" s="3" t="s">
        <v>45</v>
      </c>
      <c r="E18" s="2">
        <v>8</v>
      </c>
      <c r="F18" s="3" t="s">
        <v>45</v>
      </c>
      <c r="H18" s="46">
        <v>8</v>
      </c>
      <c r="I18" s="3" t="s">
        <v>45</v>
      </c>
      <c r="L18" s="1">
        <v>15</v>
      </c>
      <c r="M18" s="1" t="s">
        <v>54</v>
      </c>
      <c r="N18" s="1" t="s">
        <v>54</v>
      </c>
      <c r="O18" s="17">
        <f t="shared" si="0"/>
        <v>0</v>
      </c>
      <c r="P18" s="17">
        <f t="shared" si="1"/>
        <v>1</v>
      </c>
      <c r="Q18" s="17">
        <f t="shared" si="2"/>
        <v>0</v>
      </c>
      <c r="R18" s="17">
        <f t="shared" si="3"/>
        <v>0</v>
      </c>
      <c r="S18" s="17">
        <f t="shared" si="4"/>
        <v>0</v>
      </c>
      <c r="T18" s="17">
        <f t="shared" si="5"/>
        <v>1</v>
      </c>
      <c r="U18" s="13">
        <f t="shared" si="6"/>
        <v>5</v>
      </c>
      <c r="V18" s="14">
        <f t="shared" si="7"/>
        <v>0.69897000433601886</v>
      </c>
      <c r="W18" s="16">
        <f t="shared" si="8"/>
        <v>0</v>
      </c>
      <c r="X18" s="16">
        <f t="shared" si="9"/>
        <v>0.69897000433601886</v>
      </c>
      <c r="Y18" s="16">
        <f t="shared" si="10"/>
        <v>0</v>
      </c>
      <c r="Z18" s="16">
        <f t="shared" si="11"/>
        <v>0</v>
      </c>
      <c r="AA18" s="16">
        <f t="shared" si="12"/>
        <v>0</v>
      </c>
    </row>
    <row r="19" spans="2:27" x14ac:dyDescent="0.3">
      <c r="B19" s="2">
        <v>9</v>
      </c>
      <c r="C19" s="3" t="s">
        <v>46</v>
      </c>
      <c r="E19" s="2">
        <v>9</v>
      </c>
      <c r="F19" s="3" t="s">
        <v>46</v>
      </c>
      <c r="H19" s="46">
        <v>9</v>
      </c>
      <c r="I19" s="3" t="s">
        <v>46</v>
      </c>
      <c r="L19" s="1">
        <v>16</v>
      </c>
      <c r="M19" s="1" t="s">
        <v>55</v>
      </c>
      <c r="N19" s="1" t="s">
        <v>69</v>
      </c>
      <c r="O19" s="17">
        <f t="shared" si="0"/>
        <v>0</v>
      </c>
      <c r="P19" s="17">
        <f t="shared" si="1"/>
        <v>1</v>
      </c>
      <c r="Q19" s="17">
        <f t="shared" si="2"/>
        <v>0</v>
      </c>
      <c r="R19" s="17">
        <f t="shared" si="3"/>
        <v>0</v>
      </c>
      <c r="S19" s="17">
        <f t="shared" si="4"/>
        <v>0</v>
      </c>
      <c r="T19" s="17">
        <f t="shared" si="5"/>
        <v>1</v>
      </c>
      <c r="U19" s="13">
        <f t="shared" si="6"/>
        <v>5</v>
      </c>
      <c r="V19" s="14">
        <f t="shared" si="7"/>
        <v>0.69897000433601886</v>
      </c>
      <c r="W19" s="16">
        <f t="shared" si="8"/>
        <v>0</v>
      </c>
      <c r="X19" s="16">
        <f t="shared" si="9"/>
        <v>0.69897000433601886</v>
      </c>
      <c r="Y19" s="16">
        <f t="shared" si="10"/>
        <v>0</v>
      </c>
      <c r="Z19" s="16">
        <f t="shared" si="11"/>
        <v>0</v>
      </c>
      <c r="AA19" s="16">
        <f t="shared" si="12"/>
        <v>0</v>
      </c>
    </row>
    <row r="20" spans="2:27" x14ac:dyDescent="0.3">
      <c r="B20" s="2">
        <v>10</v>
      </c>
      <c r="C20" s="3" t="s">
        <v>47</v>
      </c>
      <c r="E20" s="8">
        <v>10</v>
      </c>
      <c r="F20" s="9" t="s">
        <v>47</v>
      </c>
      <c r="H20" s="48">
        <v>10</v>
      </c>
      <c r="I20" s="9" t="s">
        <v>47</v>
      </c>
      <c r="L20" s="1">
        <v>17</v>
      </c>
      <c r="M20" s="1" t="s">
        <v>48</v>
      </c>
      <c r="N20" s="1" t="s">
        <v>48</v>
      </c>
      <c r="O20" s="17">
        <f t="shared" si="0"/>
        <v>0</v>
      </c>
      <c r="P20" s="17">
        <f t="shared" si="1"/>
        <v>1</v>
      </c>
      <c r="Q20" s="17">
        <f t="shared" si="2"/>
        <v>1</v>
      </c>
      <c r="R20" s="17">
        <f t="shared" si="3"/>
        <v>0</v>
      </c>
      <c r="S20" s="17">
        <f t="shared" si="4"/>
        <v>0</v>
      </c>
      <c r="T20" s="17">
        <f t="shared" si="5"/>
        <v>2</v>
      </c>
      <c r="U20" s="13">
        <f t="shared" si="6"/>
        <v>2.5</v>
      </c>
      <c r="V20" s="14">
        <f t="shared" si="7"/>
        <v>0.3979400086720376</v>
      </c>
      <c r="W20" s="16">
        <f t="shared" si="8"/>
        <v>0</v>
      </c>
      <c r="X20" s="16">
        <f t="shared" si="9"/>
        <v>0.3979400086720376</v>
      </c>
      <c r="Y20" s="16">
        <f t="shared" si="10"/>
        <v>0.3979400086720376</v>
      </c>
      <c r="Z20" s="16">
        <f t="shared" si="11"/>
        <v>0</v>
      </c>
      <c r="AA20" s="16">
        <f t="shared" si="12"/>
        <v>0</v>
      </c>
    </row>
    <row r="21" spans="2:27" x14ac:dyDescent="0.3">
      <c r="B21" s="2">
        <v>11</v>
      </c>
      <c r="C21" s="3" t="s">
        <v>48</v>
      </c>
      <c r="E21" s="2">
        <v>11</v>
      </c>
      <c r="F21" s="3" t="s">
        <v>48</v>
      </c>
      <c r="H21" s="46">
        <v>11</v>
      </c>
      <c r="I21" s="3" t="s">
        <v>48</v>
      </c>
      <c r="L21" s="1">
        <v>18</v>
      </c>
      <c r="M21" s="1" t="s">
        <v>56</v>
      </c>
      <c r="N21" s="1" t="s">
        <v>56</v>
      </c>
      <c r="O21" s="17">
        <f t="shared" si="0"/>
        <v>0</v>
      </c>
      <c r="P21" s="17">
        <f t="shared" si="1"/>
        <v>0</v>
      </c>
      <c r="Q21" s="17">
        <f t="shared" si="2"/>
        <v>0</v>
      </c>
      <c r="R21" s="17">
        <f t="shared" si="3"/>
        <v>1</v>
      </c>
      <c r="S21" s="17">
        <f t="shared" si="4"/>
        <v>0</v>
      </c>
      <c r="T21" s="17">
        <f t="shared" si="5"/>
        <v>1</v>
      </c>
      <c r="U21" s="17">
        <f>5/T21</f>
        <v>5</v>
      </c>
      <c r="V21" s="14">
        <f>LOG(U21)</f>
        <v>0.69897000433601886</v>
      </c>
      <c r="W21" s="16">
        <f>O21*$V21</f>
        <v>0</v>
      </c>
      <c r="X21" s="16">
        <f>P21*$V21</f>
        <v>0</v>
      </c>
      <c r="Y21" s="16">
        <f>Q21*$V21</f>
        <v>0</v>
      </c>
      <c r="Z21" s="16">
        <f>R21*$V21</f>
        <v>0.69897000433601886</v>
      </c>
      <c r="AA21" s="16">
        <f>S21*$V21</f>
        <v>0</v>
      </c>
    </row>
    <row r="22" spans="2:27" x14ac:dyDescent="0.3">
      <c r="B22" s="2">
        <v>12</v>
      </c>
      <c r="C22" s="3" t="s">
        <v>49</v>
      </c>
      <c r="E22" s="2">
        <v>12</v>
      </c>
      <c r="F22" s="3" t="s">
        <v>49</v>
      </c>
      <c r="H22" s="46">
        <v>12</v>
      </c>
      <c r="I22" s="3" t="s">
        <v>49</v>
      </c>
      <c r="L22" s="1">
        <v>19</v>
      </c>
      <c r="M22" s="1" t="s">
        <v>57</v>
      </c>
      <c r="N22" s="1" t="s">
        <v>57</v>
      </c>
      <c r="O22" s="17">
        <f t="shared" si="0"/>
        <v>0</v>
      </c>
      <c r="P22" s="17">
        <f t="shared" si="1"/>
        <v>0</v>
      </c>
      <c r="Q22" s="17">
        <f t="shared" si="2"/>
        <v>0</v>
      </c>
      <c r="R22" s="17">
        <f t="shared" si="3"/>
        <v>1</v>
      </c>
      <c r="S22" s="17">
        <f t="shared" si="4"/>
        <v>0</v>
      </c>
      <c r="T22" s="17">
        <f t="shared" si="5"/>
        <v>1</v>
      </c>
      <c r="U22" s="17">
        <f t="shared" si="6"/>
        <v>5</v>
      </c>
      <c r="V22" s="14">
        <f t="shared" si="7"/>
        <v>0.69897000433601886</v>
      </c>
      <c r="W22" s="16">
        <f t="shared" ref="W22:W31" si="13">O22*$V22</f>
        <v>0</v>
      </c>
      <c r="X22" s="16">
        <f t="shared" ref="X22:X31" si="14">P22*$V22</f>
        <v>0</v>
      </c>
      <c r="Y22" s="16">
        <f t="shared" ref="Y22:Y31" si="15">Q22*$V22</f>
        <v>0</v>
      </c>
      <c r="Z22" s="16">
        <f t="shared" ref="Z22:Z31" si="16">R22*$V22</f>
        <v>0.69897000433601886</v>
      </c>
      <c r="AA22" s="16">
        <f t="shared" ref="AA22:AA31" si="17">S22*$V22</f>
        <v>0</v>
      </c>
    </row>
    <row r="23" spans="2:27" x14ac:dyDescent="0.3">
      <c r="B23" s="2">
        <v>13</v>
      </c>
      <c r="C23" s="3" t="s">
        <v>50</v>
      </c>
      <c r="E23" s="2">
        <v>13</v>
      </c>
      <c r="F23" s="3" t="s">
        <v>50</v>
      </c>
      <c r="H23" s="46">
        <v>13</v>
      </c>
      <c r="I23" s="3" t="s">
        <v>50</v>
      </c>
      <c r="L23" s="1">
        <v>20</v>
      </c>
      <c r="M23" s="1" t="s">
        <v>58</v>
      </c>
      <c r="N23" s="1" t="s">
        <v>58</v>
      </c>
      <c r="O23" s="17">
        <f t="shared" si="0"/>
        <v>0</v>
      </c>
      <c r="P23" s="17">
        <f t="shared" si="1"/>
        <v>0</v>
      </c>
      <c r="Q23" s="17">
        <f t="shared" si="2"/>
        <v>0</v>
      </c>
      <c r="R23" s="17">
        <f t="shared" si="3"/>
        <v>1</v>
      </c>
      <c r="S23" s="17">
        <f t="shared" si="4"/>
        <v>0</v>
      </c>
      <c r="T23" s="17">
        <f t="shared" si="5"/>
        <v>1</v>
      </c>
      <c r="U23" s="17">
        <f t="shared" si="6"/>
        <v>5</v>
      </c>
      <c r="V23" s="14">
        <f t="shared" si="7"/>
        <v>0.69897000433601886</v>
      </c>
      <c r="W23" s="16">
        <f t="shared" si="13"/>
        <v>0</v>
      </c>
      <c r="X23" s="16">
        <f t="shared" si="14"/>
        <v>0</v>
      </c>
      <c r="Y23" s="16">
        <f t="shared" si="15"/>
        <v>0</v>
      </c>
      <c r="Z23" s="16">
        <f t="shared" si="16"/>
        <v>0.69897000433601886</v>
      </c>
      <c r="AA23" s="16">
        <f t="shared" si="17"/>
        <v>0</v>
      </c>
    </row>
    <row r="24" spans="2:27" x14ac:dyDescent="0.3">
      <c r="B24" s="2">
        <v>14</v>
      </c>
      <c r="C24" s="3" t="s">
        <v>51</v>
      </c>
      <c r="E24" s="2">
        <v>14</v>
      </c>
      <c r="F24" s="3" t="s">
        <v>51</v>
      </c>
      <c r="H24" s="46">
        <v>14</v>
      </c>
      <c r="I24" s="3" t="s">
        <v>51</v>
      </c>
      <c r="L24" s="1">
        <v>21</v>
      </c>
      <c r="M24" s="1" t="s">
        <v>59</v>
      </c>
      <c r="N24" s="1" t="s">
        <v>59</v>
      </c>
      <c r="O24" s="17">
        <f t="shared" si="0"/>
        <v>0</v>
      </c>
      <c r="P24" s="17">
        <f t="shared" si="1"/>
        <v>0</v>
      </c>
      <c r="Q24" s="17">
        <f t="shared" si="2"/>
        <v>0</v>
      </c>
      <c r="R24" s="17">
        <f t="shared" si="3"/>
        <v>1</v>
      </c>
      <c r="S24" s="17">
        <f t="shared" si="4"/>
        <v>0</v>
      </c>
      <c r="T24" s="17">
        <f t="shared" si="5"/>
        <v>1</v>
      </c>
      <c r="U24" s="17">
        <f t="shared" si="6"/>
        <v>5</v>
      </c>
      <c r="V24" s="14">
        <f t="shared" si="7"/>
        <v>0.69897000433601886</v>
      </c>
      <c r="W24" s="16">
        <f t="shared" si="13"/>
        <v>0</v>
      </c>
      <c r="X24" s="16">
        <f t="shared" si="14"/>
        <v>0</v>
      </c>
      <c r="Y24" s="16">
        <f t="shared" si="15"/>
        <v>0</v>
      </c>
      <c r="Z24" s="16">
        <f t="shared" si="16"/>
        <v>0.69897000433601886</v>
      </c>
      <c r="AA24" s="16">
        <f t="shared" si="17"/>
        <v>0</v>
      </c>
    </row>
    <row r="25" spans="2:27" x14ac:dyDescent="0.3">
      <c r="B25" s="2">
        <v>15</v>
      </c>
      <c r="C25" s="3" t="s">
        <v>52</v>
      </c>
      <c r="E25" s="2">
        <v>15</v>
      </c>
      <c r="F25" s="3" t="s">
        <v>52</v>
      </c>
      <c r="H25" s="50">
        <v>15</v>
      </c>
      <c r="I25" s="51" t="s">
        <v>68</v>
      </c>
      <c r="L25" s="1">
        <v>22</v>
      </c>
      <c r="M25" s="1" t="s">
        <v>60</v>
      </c>
      <c r="N25" s="1" t="s">
        <v>60</v>
      </c>
      <c r="O25" s="17">
        <f t="shared" si="0"/>
        <v>0</v>
      </c>
      <c r="P25" s="17">
        <f t="shared" si="1"/>
        <v>0</v>
      </c>
      <c r="Q25" s="17">
        <f t="shared" si="2"/>
        <v>0</v>
      </c>
      <c r="R25" s="17">
        <f t="shared" si="3"/>
        <v>1</v>
      </c>
      <c r="S25" s="17">
        <f t="shared" si="4"/>
        <v>0</v>
      </c>
      <c r="T25" s="17">
        <f t="shared" si="5"/>
        <v>1</v>
      </c>
      <c r="U25" s="17">
        <f t="shared" si="6"/>
        <v>5</v>
      </c>
      <c r="V25" s="14">
        <f t="shared" si="7"/>
        <v>0.69897000433601886</v>
      </c>
      <c r="W25" s="16">
        <f t="shared" si="13"/>
        <v>0</v>
      </c>
      <c r="X25" s="16">
        <f t="shared" si="14"/>
        <v>0</v>
      </c>
      <c r="Y25" s="16">
        <f t="shared" si="15"/>
        <v>0</v>
      </c>
      <c r="Z25" s="16">
        <f t="shared" si="16"/>
        <v>0.69897000433601886</v>
      </c>
      <c r="AA25" s="16">
        <f t="shared" si="17"/>
        <v>0</v>
      </c>
    </row>
    <row r="26" spans="2:27" x14ac:dyDescent="0.3">
      <c r="B26" s="2">
        <v>16</v>
      </c>
      <c r="C26" s="3" t="s">
        <v>53</v>
      </c>
      <c r="E26" s="2">
        <v>16</v>
      </c>
      <c r="F26" s="3" t="s">
        <v>53</v>
      </c>
      <c r="H26" s="46">
        <v>16</v>
      </c>
      <c r="I26" s="3" t="s">
        <v>53</v>
      </c>
      <c r="L26" s="1">
        <v>23</v>
      </c>
      <c r="M26" s="1" t="s">
        <v>61</v>
      </c>
      <c r="N26" s="1" t="s">
        <v>61</v>
      </c>
      <c r="O26" s="17">
        <f t="shared" si="0"/>
        <v>0</v>
      </c>
      <c r="P26" s="17">
        <f t="shared" si="1"/>
        <v>0</v>
      </c>
      <c r="Q26" s="17">
        <f t="shared" si="2"/>
        <v>0</v>
      </c>
      <c r="R26" s="17">
        <f t="shared" si="3"/>
        <v>1</v>
      </c>
      <c r="S26" s="17">
        <f t="shared" si="4"/>
        <v>0</v>
      </c>
      <c r="T26" s="17">
        <f t="shared" si="5"/>
        <v>1</v>
      </c>
      <c r="U26" s="17">
        <f t="shared" si="6"/>
        <v>5</v>
      </c>
      <c r="V26" s="14">
        <f t="shared" si="7"/>
        <v>0.69897000433601886</v>
      </c>
      <c r="W26" s="16">
        <f t="shared" si="13"/>
        <v>0</v>
      </c>
      <c r="X26" s="16">
        <f t="shared" si="14"/>
        <v>0</v>
      </c>
      <c r="Y26" s="16">
        <f t="shared" si="15"/>
        <v>0</v>
      </c>
      <c r="Z26" s="16">
        <f t="shared" si="16"/>
        <v>0.69897000433601886</v>
      </c>
      <c r="AA26" s="16">
        <f t="shared" si="17"/>
        <v>0</v>
      </c>
    </row>
    <row r="27" spans="2:27" x14ac:dyDescent="0.3">
      <c r="B27" s="2">
        <v>17</v>
      </c>
      <c r="C27" s="3" t="s">
        <v>54</v>
      </c>
      <c r="E27" s="2">
        <v>17</v>
      </c>
      <c r="F27" s="3" t="s">
        <v>54</v>
      </c>
      <c r="H27" s="46">
        <v>17</v>
      </c>
      <c r="I27" s="3" t="s">
        <v>54</v>
      </c>
      <c r="L27" s="1">
        <v>24</v>
      </c>
      <c r="M27" s="1" t="s">
        <v>62</v>
      </c>
      <c r="N27" s="1" t="s">
        <v>62</v>
      </c>
      <c r="O27" s="17">
        <f t="shared" si="0"/>
        <v>0</v>
      </c>
      <c r="P27" s="17">
        <f t="shared" si="1"/>
        <v>0</v>
      </c>
      <c r="Q27" s="17">
        <f t="shared" si="2"/>
        <v>0</v>
      </c>
      <c r="R27" s="17">
        <f t="shared" si="3"/>
        <v>0</v>
      </c>
      <c r="S27" s="17">
        <f t="shared" si="4"/>
        <v>1</v>
      </c>
      <c r="T27" s="17">
        <f t="shared" si="5"/>
        <v>1</v>
      </c>
      <c r="U27" s="17">
        <f t="shared" si="6"/>
        <v>5</v>
      </c>
      <c r="V27" s="14">
        <f t="shared" si="7"/>
        <v>0.69897000433601886</v>
      </c>
      <c r="W27" s="16">
        <f t="shared" si="13"/>
        <v>0</v>
      </c>
      <c r="X27" s="16">
        <f t="shared" si="14"/>
        <v>0</v>
      </c>
      <c r="Y27" s="16">
        <f t="shared" si="15"/>
        <v>0</v>
      </c>
      <c r="Z27" s="16">
        <f t="shared" si="16"/>
        <v>0</v>
      </c>
      <c r="AA27" s="16">
        <f t="shared" si="17"/>
        <v>0.69897000433601886</v>
      </c>
    </row>
    <row r="28" spans="2:27" x14ac:dyDescent="0.3">
      <c r="B28" s="2">
        <v>18</v>
      </c>
      <c r="C28" s="3" t="s">
        <v>55</v>
      </c>
      <c r="E28" s="2">
        <v>18</v>
      </c>
      <c r="F28" s="3" t="s">
        <v>55</v>
      </c>
      <c r="H28" s="50">
        <v>18</v>
      </c>
      <c r="I28" s="51" t="s">
        <v>69</v>
      </c>
      <c r="L28" s="1">
        <v>25</v>
      </c>
      <c r="M28" s="1" t="s">
        <v>63</v>
      </c>
      <c r="N28" s="1" t="s">
        <v>63</v>
      </c>
      <c r="O28" s="17">
        <f t="shared" si="0"/>
        <v>0</v>
      </c>
      <c r="P28" s="17">
        <f t="shared" si="1"/>
        <v>0</v>
      </c>
      <c r="Q28" s="17">
        <f t="shared" si="2"/>
        <v>0</v>
      </c>
      <c r="R28" s="17">
        <f t="shared" si="3"/>
        <v>0</v>
      </c>
      <c r="S28" s="17">
        <f t="shared" si="4"/>
        <v>1</v>
      </c>
      <c r="T28" s="17">
        <f t="shared" si="5"/>
        <v>1</v>
      </c>
      <c r="U28" s="17">
        <f t="shared" si="6"/>
        <v>5</v>
      </c>
      <c r="V28" s="14">
        <f t="shared" si="7"/>
        <v>0.69897000433601886</v>
      </c>
      <c r="W28" s="16">
        <f t="shared" si="13"/>
        <v>0</v>
      </c>
      <c r="X28" s="16">
        <f t="shared" si="14"/>
        <v>0</v>
      </c>
      <c r="Y28" s="16">
        <f t="shared" si="15"/>
        <v>0</v>
      </c>
      <c r="Z28" s="16">
        <f t="shared" si="16"/>
        <v>0</v>
      </c>
      <c r="AA28" s="16">
        <f t="shared" si="17"/>
        <v>0.69897000433601886</v>
      </c>
    </row>
    <row r="29" spans="2:27" x14ac:dyDescent="0.3">
      <c r="B29" s="2">
        <v>19</v>
      </c>
      <c r="C29" s="3" t="s">
        <v>48</v>
      </c>
      <c r="E29" s="2">
        <v>19</v>
      </c>
      <c r="F29" s="3" t="s">
        <v>48</v>
      </c>
      <c r="H29" s="46">
        <v>19</v>
      </c>
      <c r="I29" s="3" t="s">
        <v>48</v>
      </c>
      <c r="L29" s="1">
        <v>26</v>
      </c>
      <c r="M29" s="1" t="s">
        <v>64</v>
      </c>
      <c r="N29" s="1" t="s">
        <v>70</v>
      </c>
      <c r="O29" s="17">
        <f t="shared" si="0"/>
        <v>0</v>
      </c>
      <c r="P29" s="17">
        <f t="shared" si="1"/>
        <v>0</v>
      </c>
      <c r="Q29" s="17">
        <f t="shared" si="2"/>
        <v>0</v>
      </c>
      <c r="R29" s="17">
        <f t="shared" si="3"/>
        <v>0</v>
      </c>
      <c r="S29" s="17">
        <f t="shared" si="4"/>
        <v>1</v>
      </c>
      <c r="T29" s="17">
        <f t="shared" si="5"/>
        <v>1</v>
      </c>
      <c r="U29" s="17">
        <f t="shared" si="6"/>
        <v>5</v>
      </c>
      <c r="V29" s="14">
        <f t="shared" si="7"/>
        <v>0.69897000433601886</v>
      </c>
      <c r="W29" s="16">
        <f t="shared" si="13"/>
        <v>0</v>
      </c>
      <c r="X29" s="16">
        <f t="shared" si="14"/>
        <v>0</v>
      </c>
      <c r="Y29" s="16">
        <f t="shared" si="15"/>
        <v>0</v>
      </c>
      <c r="Z29" s="16">
        <f t="shared" si="16"/>
        <v>0</v>
      </c>
      <c r="AA29" s="16">
        <f t="shared" si="17"/>
        <v>0.69897000433601886</v>
      </c>
    </row>
    <row r="30" spans="2:27" x14ac:dyDescent="0.3">
      <c r="B30" s="4">
        <v>20</v>
      </c>
      <c r="C30" s="5" t="s">
        <v>56</v>
      </c>
      <c r="E30" s="2">
        <v>20</v>
      </c>
      <c r="F30" s="5" t="s">
        <v>56</v>
      </c>
      <c r="H30" s="46">
        <v>20</v>
      </c>
      <c r="I30" s="5" t="s">
        <v>56</v>
      </c>
      <c r="L30" s="1">
        <v>27</v>
      </c>
      <c r="M30" s="1" t="s">
        <v>66</v>
      </c>
      <c r="N30" s="1" t="s">
        <v>71</v>
      </c>
      <c r="O30" s="17">
        <f t="shared" si="0"/>
        <v>0</v>
      </c>
      <c r="P30" s="17">
        <f t="shared" si="1"/>
        <v>1</v>
      </c>
      <c r="Q30" s="17">
        <f t="shared" si="2"/>
        <v>0</v>
      </c>
      <c r="R30" s="17">
        <f t="shared" si="3"/>
        <v>0</v>
      </c>
      <c r="S30" s="17">
        <f t="shared" si="4"/>
        <v>1</v>
      </c>
      <c r="T30" s="17">
        <f t="shared" si="5"/>
        <v>2</v>
      </c>
      <c r="U30" s="17">
        <f t="shared" si="6"/>
        <v>2.5</v>
      </c>
      <c r="V30" s="14">
        <f t="shared" si="7"/>
        <v>0.3979400086720376</v>
      </c>
      <c r="W30" s="16">
        <f t="shared" si="13"/>
        <v>0</v>
      </c>
      <c r="X30" s="16">
        <f t="shared" si="14"/>
        <v>0.3979400086720376</v>
      </c>
      <c r="Y30" s="16">
        <f t="shared" si="15"/>
        <v>0</v>
      </c>
      <c r="Z30" s="16">
        <f t="shared" si="16"/>
        <v>0</v>
      </c>
      <c r="AA30" s="16">
        <f t="shared" si="17"/>
        <v>0.3979400086720376</v>
      </c>
    </row>
    <row r="31" spans="2:27" x14ac:dyDescent="0.3">
      <c r="B31" s="2">
        <v>21</v>
      </c>
      <c r="C31" s="3" t="s">
        <v>57</v>
      </c>
      <c r="E31" s="2">
        <v>21</v>
      </c>
      <c r="F31" s="3" t="s">
        <v>57</v>
      </c>
      <c r="H31" s="46">
        <v>21</v>
      </c>
      <c r="I31" s="3" t="s">
        <v>57</v>
      </c>
      <c r="L31" s="1">
        <v>28</v>
      </c>
      <c r="M31" s="1" t="s">
        <v>42</v>
      </c>
      <c r="N31" s="1" t="s">
        <v>42</v>
      </c>
      <c r="O31" s="17">
        <f t="shared" si="0"/>
        <v>1</v>
      </c>
      <c r="P31" s="17">
        <f t="shared" si="1"/>
        <v>0</v>
      </c>
      <c r="Q31" s="17">
        <f t="shared" si="2"/>
        <v>0</v>
      </c>
      <c r="R31" s="17">
        <f t="shared" si="3"/>
        <v>0</v>
      </c>
      <c r="S31" s="17">
        <f t="shared" si="4"/>
        <v>1</v>
      </c>
      <c r="T31" s="17">
        <f t="shared" si="5"/>
        <v>2</v>
      </c>
      <c r="U31" s="17">
        <f t="shared" si="6"/>
        <v>2.5</v>
      </c>
      <c r="V31" s="14">
        <f t="shared" si="7"/>
        <v>0.3979400086720376</v>
      </c>
      <c r="W31" s="66">
        <f t="shared" si="13"/>
        <v>0.3979400086720376</v>
      </c>
      <c r="X31" s="66">
        <f t="shared" si="14"/>
        <v>0</v>
      </c>
      <c r="Y31" s="66">
        <f t="shared" si="15"/>
        <v>0</v>
      </c>
      <c r="Z31" s="66">
        <f t="shared" si="16"/>
        <v>0</v>
      </c>
      <c r="AA31" s="66">
        <f t="shared" si="17"/>
        <v>0.3979400086720376</v>
      </c>
    </row>
    <row r="32" spans="2:27" x14ac:dyDescent="0.3">
      <c r="B32" s="2">
        <v>22</v>
      </c>
      <c r="C32" s="3" t="s">
        <v>58</v>
      </c>
      <c r="E32" s="2">
        <v>22</v>
      </c>
      <c r="F32" s="3" t="s">
        <v>58</v>
      </c>
      <c r="H32" s="46">
        <v>22</v>
      </c>
      <c r="I32" s="3" t="s">
        <v>58</v>
      </c>
      <c r="AA32" s="56"/>
    </row>
    <row r="33" spans="2:27" x14ac:dyDescent="0.3">
      <c r="B33" s="2">
        <v>23</v>
      </c>
      <c r="C33" s="3" t="s">
        <v>59</v>
      </c>
      <c r="E33" s="2">
        <v>23</v>
      </c>
      <c r="F33" s="3" t="s">
        <v>59</v>
      </c>
      <c r="H33" s="46">
        <v>23</v>
      </c>
      <c r="I33" s="3" t="s">
        <v>59</v>
      </c>
      <c r="AA33" s="57"/>
    </row>
    <row r="34" spans="2:27" x14ac:dyDescent="0.3">
      <c r="B34" s="2">
        <v>24</v>
      </c>
      <c r="C34" s="3" t="s">
        <v>60</v>
      </c>
      <c r="E34" s="2">
        <v>24</v>
      </c>
      <c r="F34" s="3" t="s">
        <v>60</v>
      </c>
      <c r="H34" s="46">
        <v>24</v>
      </c>
      <c r="I34" s="3" t="s">
        <v>60</v>
      </c>
    </row>
    <row r="35" spans="2:27" x14ac:dyDescent="0.3">
      <c r="B35" s="2">
        <v>25</v>
      </c>
      <c r="C35" s="3" t="s">
        <v>61</v>
      </c>
      <c r="E35" s="2">
        <v>25</v>
      </c>
      <c r="F35" s="3" t="s">
        <v>61</v>
      </c>
      <c r="H35" s="46">
        <v>25</v>
      </c>
      <c r="I35" s="3" t="s">
        <v>61</v>
      </c>
    </row>
    <row r="36" spans="2:27" x14ac:dyDescent="0.3">
      <c r="B36" s="2">
        <v>26</v>
      </c>
      <c r="C36" s="3" t="s">
        <v>62</v>
      </c>
      <c r="E36" s="2">
        <v>26</v>
      </c>
      <c r="F36" s="3" t="s">
        <v>62</v>
      </c>
      <c r="H36" s="46">
        <v>26</v>
      </c>
      <c r="I36" s="3" t="s">
        <v>62</v>
      </c>
    </row>
    <row r="37" spans="2:27" x14ac:dyDescent="0.3">
      <c r="B37" s="2">
        <v>27</v>
      </c>
      <c r="C37" s="3" t="s">
        <v>63</v>
      </c>
      <c r="E37" s="2">
        <v>27</v>
      </c>
      <c r="F37" s="3" t="s">
        <v>63</v>
      </c>
      <c r="H37" s="46">
        <v>27</v>
      </c>
      <c r="I37" s="3" t="s">
        <v>63</v>
      </c>
      <c r="M37" s="18" t="s">
        <v>17</v>
      </c>
      <c r="N37" s="18"/>
    </row>
    <row r="38" spans="2:27" x14ac:dyDescent="0.3">
      <c r="B38" s="2">
        <v>28</v>
      </c>
      <c r="C38" s="3" t="s">
        <v>64</v>
      </c>
      <c r="E38" s="2">
        <v>28</v>
      </c>
      <c r="F38" s="3" t="s">
        <v>64</v>
      </c>
      <c r="H38" s="50">
        <v>28</v>
      </c>
      <c r="I38" s="51" t="s">
        <v>70</v>
      </c>
      <c r="M38" s="22" t="s">
        <v>18</v>
      </c>
      <c r="N38" s="23">
        <f>SQRT(SUMSQ(AA4:AA31))</f>
        <v>1.4488278720717958</v>
      </c>
      <c r="P38" s="15"/>
      <c r="Q38" s="15"/>
      <c r="R38" s="15"/>
      <c r="S38" s="15"/>
    </row>
    <row r="39" spans="2:27" x14ac:dyDescent="0.3">
      <c r="B39" s="2">
        <v>29</v>
      </c>
      <c r="C39" s="3" t="s">
        <v>65</v>
      </c>
      <c r="E39" s="8">
        <v>29</v>
      </c>
      <c r="F39" s="9" t="s">
        <v>65</v>
      </c>
      <c r="H39" s="48">
        <v>29</v>
      </c>
      <c r="I39" s="9" t="s">
        <v>65</v>
      </c>
      <c r="M39" s="1" t="s">
        <v>19</v>
      </c>
      <c r="N39" s="19">
        <f>SQRT(SUMSQ(W4:W31))</f>
        <v>1.6611766419653491</v>
      </c>
      <c r="P39" s="58" t="s">
        <v>23</v>
      </c>
      <c r="Q39" s="59"/>
      <c r="R39" s="60"/>
      <c r="S39" s="20">
        <f>SUMPRODUCT(W4:W31,AA4:AA31)</f>
        <v>0.31671250100380272</v>
      </c>
    </row>
    <row r="40" spans="2:27" x14ac:dyDescent="0.3">
      <c r="B40" s="2">
        <v>30</v>
      </c>
      <c r="C40" s="3" t="s">
        <v>66</v>
      </c>
      <c r="E40" s="2">
        <v>30</v>
      </c>
      <c r="F40" s="3" t="s">
        <v>66</v>
      </c>
      <c r="H40" s="50">
        <v>30</v>
      </c>
      <c r="I40" s="51" t="s">
        <v>71</v>
      </c>
      <c r="M40" s="1" t="s">
        <v>20</v>
      </c>
      <c r="N40" s="19">
        <f>SQRT(SUMSQ(X4:X31))</f>
        <v>1.7081756602624845</v>
      </c>
      <c r="P40" s="58" t="s">
        <v>24</v>
      </c>
      <c r="Q40" s="59"/>
      <c r="R40" s="60"/>
      <c r="S40" s="20">
        <f>SUMPRODUCT(X4:X31,AA4:AA31)</f>
        <v>0.15835625050190136</v>
      </c>
    </row>
    <row r="41" spans="2:27" x14ac:dyDescent="0.3">
      <c r="B41" s="2">
        <v>31</v>
      </c>
      <c r="C41" s="3" t="s">
        <v>42</v>
      </c>
      <c r="E41" s="2">
        <v>31</v>
      </c>
      <c r="F41" s="3" t="s">
        <v>42</v>
      </c>
      <c r="H41" s="46">
        <v>31</v>
      </c>
      <c r="I41" s="3" t="s">
        <v>42</v>
      </c>
      <c r="M41" s="1" t="s">
        <v>21</v>
      </c>
      <c r="N41" s="19">
        <f>SQRT(SUMSQ(Y4:Y31))</f>
        <v>1.3931065832843468</v>
      </c>
      <c r="P41" s="58" t="s">
        <v>25</v>
      </c>
      <c r="Q41" s="59"/>
      <c r="R41" s="60"/>
      <c r="S41" s="20">
        <f>SUMPRODUCT(Y4:Y31,AA4:AA31)</f>
        <v>0.15835625050190136</v>
      </c>
    </row>
    <row r="42" spans="2:27" x14ac:dyDescent="0.3">
      <c r="M42" s="1" t="s">
        <v>22</v>
      </c>
      <c r="N42" s="19">
        <f>SQRT(SUMSQ(Z4:Z31))</f>
        <v>1.7121198561341917</v>
      </c>
      <c r="P42" s="58" t="s">
        <v>26</v>
      </c>
      <c r="Q42" s="59"/>
      <c r="R42" s="60"/>
      <c r="S42" s="20">
        <f>SUMPRODUCT(Z4:Z31,AA4:AA31)</f>
        <v>0</v>
      </c>
    </row>
    <row r="45" spans="2:27" x14ac:dyDescent="0.3">
      <c r="M45" s="29" t="s">
        <v>29</v>
      </c>
      <c r="N45" s="28">
        <v>3</v>
      </c>
    </row>
    <row r="47" spans="2:27" x14ac:dyDescent="0.3">
      <c r="M47" s="24" t="s">
        <v>27</v>
      </c>
      <c r="N47" s="24"/>
      <c r="O47" s="26" t="s">
        <v>28</v>
      </c>
      <c r="P47" s="27"/>
      <c r="Q47" s="34"/>
      <c r="R47" s="55"/>
      <c r="S47" s="35"/>
    </row>
    <row r="48" spans="2:27" x14ac:dyDescent="0.3">
      <c r="M48" s="21" t="s">
        <v>30</v>
      </c>
      <c r="N48" s="25">
        <f>S39/($N$38*N39)</f>
        <v>0.13159294240188274</v>
      </c>
      <c r="O48" s="31">
        <f>_xlfn.RANK.AVG(N48,$N$48:$N$51,0)</f>
        <v>1</v>
      </c>
      <c r="P48" s="32"/>
      <c r="Q48" s="52" t="str">
        <f>IF(O48&lt;=$N$45,I2,"")</f>
        <v>IR</v>
      </c>
      <c r="R48" s="53"/>
      <c r="S48" s="54"/>
    </row>
    <row r="49" spans="13:19" x14ac:dyDescent="0.3">
      <c r="M49" s="21" t="s">
        <v>31</v>
      </c>
      <c r="N49" s="25">
        <f>S40/($N$38*N40)</f>
        <v>6.3986136569791796E-2</v>
      </c>
      <c r="O49" s="31">
        <f>_xlfn.RANK.AVG(N49,$N$48:$N$51,0)</f>
        <v>3</v>
      </c>
      <c r="P49" s="32"/>
      <c r="Q49" s="33" t="str">
        <f>IF(O49&lt;=$N$45,I3,"")</f>
        <v xml:space="preserve">Image </v>
      </c>
      <c r="R49" s="33"/>
      <c r="S49" s="33"/>
    </row>
    <row r="50" spans="13:19" x14ac:dyDescent="0.3">
      <c r="M50" s="21" t="s">
        <v>32</v>
      </c>
      <c r="N50" s="25">
        <f>S41/($N$38*N41)</f>
        <v>7.845742916889259E-2</v>
      </c>
      <c r="O50" s="31">
        <f>_xlfn.RANK.AVG(N50,$N$48:$N$51,0)</f>
        <v>2</v>
      </c>
      <c r="P50" s="32"/>
      <c r="Q50" s="33" t="str">
        <f>IF(O50&lt;=$N$45,I4,"")</f>
        <v>Image</v>
      </c>
      <c r="R50" s="33"/>
      <c r="S50" s="33"/>
    </row>
    <row r="51" spans="13:19" x14ac:dyDescent="0.3">
      <c r="M51" s="21" t="s">
        <v>33</v>
      </c>
      <c r="N51" s="25">
        <f>S42/($N$38*N42)</f>
        <v>0</v>
      </c>
      <c r="O51" s="31">
        <f>_xlfn.RANK.AVG(N51,$N$48:$N$51,0)</f>
        <v>4</v>
      </c>
      <c r="P51" s="32"/>
      <c r="Q51" s="33" t="str">
        <f>IF(O51&lt;=$N$45,I5,"")</f>
        <v/>
      </c>
      <c r="R51" s="33"/>
      <c r="S51" s="33"/>
    </row>
  </sheetData>
  <mergeCells count="29">
    <mergeCell ref="C4:H4"/>
    <mergeCell ref="C5:H5"/>
    <mergeCell ref="C6:H6"/>
    <mergeCell ref="O48:P48"/>
    <mergeCell ref="P39:R39"/>
    <mergeCell ref="P40:R40"/>
    <mergeCell ref="P41:R41"/>
    <mergeCell ref="P42:R42"/>
    <mergeCell ref="B9:C9"/>
    <mergeCell ref="E9:F9"/>
    <mergeCell ref="H9:I9"/>
    <mergeCell ref="W2:AA2"/>
    <mergeCell ref="O2:S2"/>
    <mergeCell ref="T2:T3"/>
    <mergeCell ref="U2:U3"/>
    <mergeCell ref="V2:V3"/>
    <mergeCell ref="N2:N3"/>
    <mergeCell ref="C2:H2"/>
    <mergeCell ref="C3:H3"/>
    <mergeCell ref="M2:M3"/>
    <mergeCell ref="L2:L3"/>
    <mergeCell ref="Q48:S48"/>
    <mergeCell ref="Q47:S47"/>
    <mergeCell ref="O49:P49"/>
    <mergeCell ref="O50:P50"/>
    <mergeCell ref="O51:P51"/>
    <mergeCell ref="Q49:S49"/>
    <mergeCell ref="Q50:S50"/>
    <mergeCell ref="Q51:S51"/>
  </mergeCells>
  <conditionalFormatting sqref="O4:S31">
    <cfRule type="cellIs" dxfId="0" priority="1" operator="greaterThan">
      <formula>0.5</formula>
    </cfRule>
  </conditionalFormatting>
  <pageMargins left="0.7" right="0.7" top="0.75" bottom="0.75" header="0.3" footer="0.3"/>
  <pageSetup orientation="portrait" horizontalDpi="4294967293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Blank Zero</dc:creator>
  <cp:lastModifiedBy>Administrator</cp:lastModifiedBy>
  <dcterms:created xsi:type="dcterms:W3CDTF">2026-01-17T04:22:28Z</dcterms:created>
  <dcterms:modified xsi:type="dcterms:W3CDTF">2026-01-19T13:55:33Z</dcterms:modified>
</cp:coreProperties>
</file>