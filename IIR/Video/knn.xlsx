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uliah\IIR\Video\"/>
    </mc:Choice>
  </mc:AlternateContent>
  <bookViews>
    <workbookView xWindow="0" yWindow="0" windowWidth="17970" windowHeight="45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5" i="1" l="1"/>
  <c r="Q36" i="1"/>
  <c r="Q37" i="1"/>
  <c r="Q34" i="1"/>
  <c r="O5" i="1"/>
  <c r="P5" i="1"/>
  <c r="Q5" i="1"/>
  <c r="R5" i="1"/>
  <c r="T5" i="1" s="1"/>
  <c r="U5" i="1" s="1"/>
  <c r="V5" i="1" s="1"/>
  <c r="S5" i="1"/>
  <c r="O6" i="1"/>
  <c r="P6" i="1"/>
  <c r="Q6" i="1"/>
  <c r="R6" i="1"/>
  <c r="S6" i="1"/>
  <c r="O7" i="1"/>
  <c r="P7" i="1"/>
  <c r="Q7" i="1"/>
  <c r="R7" i="1"/>
  <c r="S7" i="1"/>
  <c r="O8" i="1"/>
  <c r="P8" i="1"/>
  <c r="Q8" i="1"/>
  <c r="R8" i="1"/>
  <c r="S8" i="1"/>
  <c r="O9" i="1"/>
  <c r="P9" i="1"/>
  <c r="Q9" i="1"/>
  <c r="R9" i="1"/>
  <c r="T9" i="1" s="1"/>
  <c r="U9" i="1" s="1"/>
  <c r="V9" i="1" s="1"/>
  <c r="S9" i="1"/>
  <c r="O10" i="1"/>
  <c r="P10" i="1"/>
  <c r="Q10" i="1"/>
  <c r="R10" i="1"/>
  <c r="S10" i="1"/>
  <c r="O11" i="1"/>
  <c r="P11" i="1"/>
  <c r="Q11" i="1"/>
  <c r="R11" i="1"/>
  <c r="S11" i="1"/>
  <c r="O12" i="1"/>
  <c r="P12" i="1"/>
  <c r="Q12" i="1"/>
  <c r="R12" i="1"/>
  <c r="S12" i="1"/>
  <c r="O13" i="1"/>
  <c r="P13" i="1"/>
  <c r="Q13" i="1"/>
  <c r="R13" i="1"/>
  <c r="S13" i="1"/>
  <c r="O14" i="1"/>
  <c r="P14" i="1"/>
  <c r="Q14" i="1"/>
  <c r="R14" i="1"/>
  <c r="S14" i="1"/>
  <c r="O15" i="1"/>
  <c r="P15" i="1"/>
  <c r="Q15" i="1"/>
  <c r="R15" i="1"/>
  <c r="S15" i="1"/>
  <c r="O16" i="1"/>
  <c r="P16" i="1"/>
  <c r="Q16" i="1"/>
  <c r="R16" i="1"/>
  <c r="S16" i="1"/>
  <c r="O17" i="1"/>
  <c r="P17" i="1"/>
  <c r="Q17" i="1"/>
  <c r="R17" i="1"/>
  <c r="T17" i="1" s="1"/>
  <c r="U17" i="1" s="1"/>
  <c r="V17" i="1" s="1"/>
  <c r="S17" i="1"/>
  <c r="O18" i="1"/>
  <c r="P18" i="1"/>
  <c r="Q18" i="1"/>
  <c r="R18" i="1"/>
  <c r="S18" i="1"/>
  <c r="O19" i="1"/>
  <c r="P19" i="1"/>
  <c r="Q19" i="1"/>
  <c r="R19" i="1"/>
  <c r="S19" i="1"/>
  <c r="O20" i="1"/>
  <c r="P20" i="1"/>
  <c r="Q20" i="1"/>
  <c r="R20" i="1"/>
  <c r="S20" i="1"/>
  <c r="S4" i="1"/>
  <c r="R4" i="1"/>
  <c r="Q4" i="1"/>
  <c r="P4" i="1"/>
  <c r="O4" i="1"/>
  <c r="T19" i="1" l="1"/>
  <c r="U19" i="1" s="1"/>
  <c r="V19" i="1" s="1"/>
  <c r="T15" i="1"/>
  <c r="U15" i="1" s="1"/>
  <c r="V15" i="1" s="1"/>
  <c r="Y15" i="1" s="1"/>
  <c r="T13" i="1"/>
  <c r="U13" i="1" s="1"/>
  <c r="V13" i="1" s="1"/>
  <c r="Y13" i="1" s="1"/>
  <c r="T11" i="1"/>
  <c r="U11" i="1" s="1"/>
  <c r="V11" i="1" s="1"/>
  <c r="Z11" i="1" s="1"/>
  <c r="T7" i="1"/>
  <c r="U7" i="1" s="1"/>
  <c r="V7" i="1" s="1"/>
  <c r="Z7" i="1" s="1"/>
  <c r="Z17" i="1"/>
  <c r="Y17" i="1"/>
  <c r="X17" i="1"/>
  <c r="W17" i="1"/>
  <c r="AA17" i="1"/>
  <c r="Z15" i="1"/>
  <c r="AA15" i="1"/>
  <c r="X15" i="1"/>
  <c r="Y7" i="1"/>
  <c r="W7" i="1"/>
  <c r="X7" i="1"/>
  <c r="W5" i="1"/>
  <c r="X5" i="1"/>
  <c r="Z5" i="1"/>
  <c r="Y5" i="1"/>
  <c r="AA5" i="1"/>
  <c r="Z9" i="1"/>
  <c r="Y9" i="1"/>
  <c r="X9" i="1"/>
  <c r="W9" i="1"/>
  <c r="AA9" i="1"/>
  <c r="Z19" i="1"/>
  <c r="AA19" i="1"/>
  <c r="Y19" i="1"/>
  <c r="W19" i="1"/>
  <c r="X19" i="1"/>
  <c r="T18" i="1"/>
  <c r="U18" i="1" s="1"/>
  <c r="V18" i="1" s="1"/>
  <c r="W18" i="1" s="1"/>
  <c r="T14" i="1"/>
  <c r="U14" i="1" s="1"/>
  <c r="V14" i="1" s="1"/>
  <c r="W14" i="1" s="1"/>
  <c r="T10" i="1"/>
  <c r="U10" i="1" s="1"/>
  <c r="V10" i="1" s="1"/>
  <c r="T6" i="1"/>
  <c r="U6" i="1" s="1"/>
  <c r="V6" i="1" s="1"/>
  <c r="W6" i="1" s="1"/>
  <c r="T20" i="1"/>
  <c r="U20" i="1" s="1"/>
  <c r="V20" i="1" s="1"/>
  <c r="W20" i="1" s="1"/>
  <c r="T16" i="1"/>
  <c r="U16" i="1" s="1"/>
  <c r="V16" i="1" s="1"/>
  <c r="W16" i="1" s="1"/>
  <c r="T12" i="1"/>
  <c r="U12" i="1" s="1"/>
  <c r="V12" i="1" s="1"/>
  <c r="T8" i="1"/>
  <c r="U8" i="1" s="1"/>
  <c r="V8" i="1" s="1"/>
  <c r="W8" i="1" s="1"/>
  <c r="T4" i="1"/>
  <c r="U4" i="1" s="1"/>
  <c r="V4" i="1" s="1"/>
  <c r="AA7" i="1" l="1"/>
  <c r="AA13" i="1"/>
  <c r="W15" i="1"/>
  <c r="W13" i="1"/>
  <c r="W11" i="1"/>
  <c r="Z13" i="1"/>
  <c r="Y11" i="1"/>
  <c r="AA11" i="1"/>
  <c r="X13" i="1"/>
  <c r="X11" i="1"/>
  <c r="AA12" i="1"/>
  <c r="Y12" i="1"/>
  <c r="X12" i="1"/>
  <c r="Z12" i="1"/>
  <c r="AA10" i="1"/>
  <c r="Y10" i="1"/>
  <c r="X10" i="1"/>
  <c r="Z10" i="1"/>
  <c r="AA8" i="1"/>
  <c r="Y8" i="1"/>
  <c r="X8" i="1"/>
  <c r="Z8" i="1"/>
  <c r="AA14" i="1"/>
  <c r="Y14" i="1"/>
  <c r="X14" i="1"/>
  <c r="Z14" i="1"/>
  <c r="AA6" i="1"/>
  <c r="Y6" i="1"/>
  <c r="X6" i="1"/>
  <c r="Z6" i="1"/>
  <c r="AA16" i="1"/>
  <c r="Y16" i="1"/>
  <c r="X16" i="1"/>
  <c r="Z16" i="1"/>
  <c r="AA20" i="1"/>
  <c r="Y20" i="1"/>
  <c r="X20" i="1"/>
  <c r="Z20" i="1"/>
  <c r="AA18" i="1"/>
  <c r="Y18" i="1"/>
  <c r="X18" i="1"/>
  <c r="Z18" i="1"/>
  <c r="W12" i="1"/>
  <c r="W10" i="1"/>
  <c r="Y4" i="1"/>
  <c r="Z4" i="1"/>
  <c r="X4" i="1"/>
  <c r="AA4" i="1"/>
  <c r="W4" i="1"/>
  <c r="N24" i="1" l="1"/>
  <c r="S25" i="1"/>
  <c r="S26" i="1"/>
  <c r="N28" i="1"/>
  <c r="S28" i="1"/>
  <c r="N27" i="1"/>
  <c r="S27" i="1"/>
  <c r="N26" i="1"/>
  <c r="N35" i="1" s="1"/>
  <c r="N25" i="1"/>
  <c r="N34" i="1" s="1"/>
  <c r="N36" i="1" l="1"/>
  <c r="N37" i="1"/>
  <c r="O37" i="1" s="1"/>
  <c r="O36" i="1" l="1"/>
  <c r="O35" i="1"/>
  <c r="O34" i="1"/>
</calcChain>
</file>

<file path=xl/sharedStrings.xml><?xml version="1.0" encoding="utf-8"?>
<sst xmlns="http://schemas.openxmlformats.org/spreadsheetml/2006/main" count="152" uniqueCount="66">
  <si>
    <t>D1</t>
  </si>
  <si>
    <t>Sepakbola</t>
  </si>
  <si>
    <t>Sepakbola PSIS tahun ini semakin indah</t>
  </si>
  <si>
    <t>Presiden Indonesia menaikan harga BBM</t>
  </si>
  <si>
    <t>Olahraga</t>
  </si>
  <si>
    <t>Politik</t>
  </si>
  <si>
    <t>D2</t>
  </si>
  <si>
    <t>D3</t>
  </si>
  <si>
    <t>D4</t>
  </si>
  <si>
    <t>Presiden menaikan gaji timnas Indonesia</t>
  </si>
  <si>
    <t>T1</t>
  </si>
  <si>
    <t>PSIS</t>
  </si>
  <si>
    <t>tahun</t>
  </si>
  <si>
    <t>ini</t>
  </si>
  <si>
    <t>semakin</t>
  </si>
  <si>
    <t>indah</t>
  </si>
  <si>
    <t>presiden</t>
  </si>
  <si>
    <t>menaikkan</t>
  </si>
  <si>
    <t>harga</t>
  </si>
  <si>
    <t>bbm</t>
  </si>
  <si>
    <t>partai</t>
  </si>
  <si>
    <t>politik</t>
  </si>
  <si>
    <t>berburu</t>
  </si>
  <si>
    <t>suara</t>
  </si>
  <si>
    <t>timnas</t>
  </si>
  <si>
    <t>gagal</t>
  </si>
  <si>
    <t>juara</t>
  </si>
  <si>
    <t>afc</t>
  </si>
  <si>
    <t>gaji</t>
  </si>
  <si>
    <t>Tokenizing</t>
  </si>
  <si>
    <t>indonesia</t>
  </si>
  <si>
    <t>Stopword removal</t>
  </si>
  <si>
    <t>No</t>
  </si>
  <si>
    <t>Term</t>
  </si>
  <si>
    <t>Stemming</t>
  </si>
  <si>
    <t>D5</t>
  </si>
  <si>
    <t>sepakbola</t>
  </si>
  <si>
    <t>psis</t>
  </si>
  <si>
    <t>naik</t>
  </si>
  <si>
    <t>buru</t>
  </si>
  <si>
    <t>menaikan</t>
  </si>
  <si>
    <t>Preprocesing</t>
  </si>
  <si>
    <t>R</t>
  </si>
  <si>
    <t>D/R</t>
  </si>
  <si>
    <t>Log(D/R)</t>
  </si>
  <si>
    <t>TF * DF</t>
  </si>
  <si>
    <t>Data</t>
  </si>
  <si>
    <t xml:space="preserve">Cosine Similarity </t>
  </si>
  <si>
    <t>|Ds|</t>
  </si>
  <si>
    <t>|D1|</t>
  </si>
  <si>
    <t>|D2|</t>
  </si>
  <si>
    <t>|D3|</t>
  </si>
  <si>
    <t>|D4|</t>
  </si>
  <si>
    <t>D5 * D1</t>
  </si>
  <si>
    <t>D5 * D2</t>
  </si>
  <si>
    <t>D5 * D3</t>
  </si>
  <si>
    <t>D5 * D4</t>
  </si>
  <si>
    <t>Sim(D5 . D1)</t>
  </si>
  <si>
    <t>Sim(D5 . D2)</t>
  </si>
  <si>
    <t>Sim(D5 . D3)</t>
  </si>
  <si>
    <t>Sim(D5 . D4)</t>
  </si>
  <si>
    <t>Hasil</t>
  </si>
  <si>
    <t>Rank</t>
  </si>
  <si>
    <t>Partai politik Indonesia berburu suara</t>
  </si>
  <si>
    <t>Timnas Indonesia gagal juara AFC</t>
  </si>
  <si>
    <t>K-NN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</si>
</sst>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7" formatCode="0.0000"/>
    <numFmt numFmtId="168" formatCode="0.000"/>
    <numFmt numFmtId="169" formatCode="_(* #,##0.000_);_(* \(#,##0.0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4" xfId="0" applyBorder="1"/>
    <xf numFmtId="0" fontId="7" fillId="4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3" fillId="3" borderId="2" xfId="0" applyFont="1" applyFill="1" applyBorder="1"/>
    <xf numFmtId="0" fontId="6" fillId="5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left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9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168" fontId="5" fillId="0" borderId="1" xfId="0" applyNumberFormat="1" applyFont="1" applyBorder="1" applyAlignment="1">
      <alignment horizontal="left"/>
    </xf>
    <xf numFmtId="0" fontId="0" fillId="7" borderId="1" xfId="0" applyFill="1" applyBorder="1" applyAlignment="1">
      <alignment horizontal="center" vertical="center"/>
    </xf>
    <xf numFmtId="169" fontId="0" fillId="7" borderId="1" xfId="1" applyNumberFormat="1" applyFont="1" applyFill="1" applyBorder="1"/>
    <xf numFmtId="0" fontId="5" fillId="0" borderId="1" xfId="0" applyFont="1" applyBorder="1"/>
    <xf numFmtId="0" fontId="5" fillId="8" borderId="1" xfId="0" applyFont="1" applyFill="1" applyBorder="1"/>
    <xf numFmtId="168" fontId="5" fillId="8" borderId="1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168" fontId="5" fillId="0" borderId="1" xfId="0" applyNumberFormat="1" applyFont="1" applyBorder="1"/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3" xfId="2" applyBorder="1" applyAlignment="1">
      <alignment horizontal="center"/>
    </xf>
    <xf numFmtId="0" fontId="4" fillId="0" borderId="2" xfId="2" applyBorder="1" applyAlignment="1">
      <alignment horizontal="center"/>
    </xf>
    <xf numFmtId="0" fontId="0" fillId="0" borderId="0" xfId="0" applyBorder="1"/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9" fillId="2" borderId="1" xfId="0" applyFont="1" applyFill="1" applyBorder="1"/>
  </cellXfs>
  <cellStyles count="3">
    <cellStyle name="Comma" xfId="1" builtinId="3"/>
    <cellStyle name="Explanatory Text" xfId="2" builtinId="53"/>
    <cellStyle name="Normal" xfId="0" builtinId="0"/>
  </cellStyles>
  <dxfs count="19"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599741</xdr:colOff>
      <xdr:row>8</xdr:row>
      <xdr:rowOff>137015</xdr:rowOff>
    </xdr:from>
    <xdr:to>
      <xdr:col>11</xdr:col>
      <xdr:colOff>409941</xdr:colOff>
      <xdr:row>10</xdr:row>
      <xdr:rowOff>167059</xdr:rowOff>
    </xdr:to>
    <xdr:sp macro="" textlink="">
      <xdr:nvSpPr>
        <xdr:cNvPr id="7" name="Right Arrow 4"/>
        <xdr:cNvSpPr txBox="1"/>
      </xdr:nvSpPr>
      <xdr:spPr>
        <a:xfrm>
          <a:off x="7905976" y="2501456"/>
          <a:ext cx="415318" cy="411044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0" tIns="0" rIns="0" bIns="0" numCol="1" spcCol="1270" anchor="ctr" anchorCtr="0">
          <a:noAutofit/>
        </a:bodyPr>
        <a:lstStyle/>
        <a:p>
          <a:pPr lvl="0" algn="ctr" defTabSz="1289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2900" kern="1200"/>
        </a:p>
      </xdr:txBody>
    </xdr:sp>
    <xdr:clientData/>
  </xdr:twoCellAnchor>
  <xdr:twoCellAnchor>
    <xdr:from>
      <xdr:col>18</xdr:col>
      <xdr:colOff>415490</xdr:colOff>
      <xdr:row>11</xdr:row>
      <xdr:rowOff>137015</xdr:rowOff>
    </xdr:from>
    <xdr:to>
      <xdr:col>19</xdr:col>
      <xdr:colOff>235324</xdr:colOff>
      <xdr:row>13</xdr:row>
      <xdr:rowOff>167059</xdr:rowOff>
    </xdr:to>
    <xdr:sp macro="" textlink="">
      <xdr:nvSpPr>
        <xdr:cNvPr id="5" name="Right Arrow 6"/>
        <xdr:cNvSpPr txBox="1"/>
      </xdr:nvSpPr>
      <xdr:spPr>
        <a:xfrm>
          <a:off x="11957549" y="2501456"/>
          <a:ext cx="424951" cy="411044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0" tIns="0" rIns="0" bIns="0" numCol="1" spcCol="1270" anchor="ctr" anchorCtr="0">
          <a:noAutofit/>
        </a:bodyPr>
        <a:lstStyle/>
        <a:p>
          <a:pPr lvl="0" algn="ctr" defTabSz="1289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2900" kern="1200"/>
        </a:p>
      </xdr:txBody>
    </xdr:sp>
    <xdr:clientData/>
  </xdr:twoCellAnchor>
  <xdr:twoCellAnchor>
    <xdr:from>
      <xdr:col>3</xdr:col>
      <xdr:colOff>156883</xdr:colOff>
      <xdr:row>16</xdr:row>
      <xdr:rowOff>0</xdr:rowOff>
    </xdr:from>
    <xdr:to>
      <xdr:col>3</xdr:col>
      <xdr:colOff>750194</xdr:colOff>
      <xdr:row>19</xdr:row>
      <xdr:rowOff>113574</xdr:rowOff>
    </xdr:to>
    <xdr:sp macro="" textlink="">
      <xdr:nvSpPr>
        <xdr:cNvPr id="8" name="Right Arrow 7"/>
        <xdr:cNvSpPr/>
      </xdr:nvSpPr>
      <xdr:spPr>
        <a:xfrm>
          <a:off x="2308412" y="3316941"/>
          <a:ext cx="593311" cy="685074"/>
        </a:xfrm>
        <a:prstGeom prst="rightArrow">
          <a:avLst>
            <a:gd name="adj1" fmla="val 60000"/>
            <a:gd name="adj2" fmla="val 50000"/>
          </a:avLst>
        </a:prstGeom>
      </xdr:spPr>
      <xdr:style>
        <a:lnRef idx="0">
          <a:schemeClr val="lt1">
            <a:hueOff val="0"/>
            <a:satOff val="0"/>
            <a:lumOff val="0"/>
            <a:alphaOff val="0"/>
          </a:schemeClr>
        </a:lnRef>
        <a:fillRef idx="3">
          <a:schemeClr val="accent4">
            <a:hueOff val="0"/>
            <a:satOff val="0"/>
            <a:lumOff val="0"/>
            <a:alphaOff val="0"/>
          </a:schemeClr>
        </a:fillRef>
        <a:effectRef idx="2">
          <a:schemeClr val="accent4">
            <a:hueOff val="0"/>
            <a:satOff val="0"/>
            <a:lumOff val="0"/>
            <a:alphaOff val="0"/>
          </a:schemeClr>
        </a:effectRef>
        <a:fontRef idx="minor">
          <a:schemeClr val="lt1"/>
        </a:fontRef>
      </xdr:style>
    </xdr:sp>
    <xdr:clientData/>
  </xdr:twoCellAnchor>
  <xdr:twoCellAnchor>
    <xdr:from>
      <xdr:col>6</xdr:col>
      <xdr:colOff>201706</xdr:colOff>
      <xdr:row>16</xdr:row>
      <xdr:rowOff>22411</xdr:rowOff>
    </xdr:from>
    <xdr:to>
      <xdr:col>6</xdr:col>
      <xdr:colOff>795618</xdr:colOff>
      <xdr:row>19</xdr:row>
      <xdr:rowOff>102368</xdr:rowOff>
    </xdr:to>
    <xdr:sp macro="" textlink="">
      <xdr:nvSpPr>
        <xdr:cNvPr id="9" name="Right Arrow 8"/>
        <xdr:cNvSpPr/>
      </xdr:nvSpPr>
      <xdr:spPr>
        <a:xfrm>
          <a:off x="4740088" y="3339352"/>
          <a:ext cx="593912" cy="651457"/>
        </a:xfrm>
        <a:prstGeom prst="rightArrow">
          <a:avLst>
            <a:gd name="adj1" fmla="val 60000"/>
            <a:gd name="adj2" fmla="val 50000"/>
          </a:avLst>
        </a:prstGeom>
      </xdr:spPr>
      <xdr:style>
        <a:lnRef idx="0">
          <a:schemeClr val="lt1">
            <a:hueOff val="0"/>
            <a:satOff val="0"/>
            <a:lumOff val="0"/>
            <a:alphaOff val="0"/>
          </a:schemeClr>
        </a:lnRef>
        <a:fillRef idx="3">
          <a:schemeClr val="accent4">
            <a:hueOff val="10395692"/>
            <a:satOff val="-47968"/>
            <a:lumOff val="1765"/>
            <a:alphaOff val="0"/>
          </a:schemeClr>
        </a:fillRef>
        <a:effectRef idx="2">
          <a:schemeClr val="accent4">
            <a:hueOff val="10395692"/>
            <a:satOff val="-47968"/>
            <a:lumOff val="1765"/>
            <a:alphaOff val="0"/>
          </a:schemeClr>
        </a:effectRef>
        <a:fontRef idx="minor">
          <a:schemeClr val="lt1"/>
        </a:fontRef>
      </xdr:style>
    </xdr:sp>
    <xdr:clientData/>
  </xdr:twoCellAnchor>
</xdr:wsDr>
</file>

<file path=xl/tables/table1.xml><?xml version="1.0" encoding="utf-8"?>
<table xmlns="http://schemas.openxmlformats.org/spreadsheetml/2006/main" id="3" name="Table3" displayName="Table3" ref="B10:C30" totalsRowShown="0" headerRowDxfId="13" headerRowBorderDxfId="17" tableBorderDxfId="18" totalsRowBorderDxfId="16">
  <autoFilter ref="B10:C30"/>
  <tableColumns count="2">
    <tableColumn id="1" name="No" dataDxfId="15"/>
    <tableColumn id="2" name="Term" dataDxfId="14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E10:F30" totalsRowShown="0" headerRowDxfId="7" headerRowBorderDxfId="11" tableBorderDxfId="12" totalsRowBorderDxfId="10">
  <autoFilter ref="E10:F30"/>
  <tableColumns count="2">
    <tableColumn id="1" name="No" dataDxfId="9"/>
    <tableColumn id="2" name="Term" dataDxfId="8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5" name="Table46" displayName="Table46" ref="H10:I30" totalsRowShown="0" headerRowDxfId="6" headerRowBorderDxfId="4" tableBorderDxfId="5" totalsRowBorderDxfId="3">
  <autoFilter ref="H10:I30"/>
  <tableColumns count="2">
    <tableColumn id="1" name="No" dataDxfId="2"/>
    <tableColumn id="2" name="Term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37"/>
  <sheetViews>
    <sheetView tabSelected="1" zoomScale="85" zoomScaleNormal="85" workbookViewId="0">
      <selection activeCell="U24" sqref="U24"/>
    </sheetView>
  </sheetViews>
  <sheetFormatPr defaultRowHeight="15" x14ac:dyDescent="0.25"/>
  <cols>
    <col min="2" max="2" width="6.140625" bestFit="1" customWidth="1"/>
    <col min="3" max="3" width="17" customWidth="1"/>
    <col min="4" max="4" width="12.140625" customWidth="1"/>
    <col min="5" max="5" width="6.140625" bestFit="1" customWidth="1"/>
    <col min="6" max="6" width="17.42578125" customWidth="1"/>
    <col min="7" max="7" width="13.5703125" customWidth="1"/>
    <col min="8" max="8" width="6.140625" bestFit="1" customWidth="1"/>
    <col min="9" max="9" width="13.7109375" customWidth="1"/>
    <col min="12" max="12" width="3.7109375" bestFit="1" customWidth="1"/>
    <col min="13" max="13" width="11.42578125" bestFit="1" customWidth="1"/>
    <col min="14" max="14" width="13.140625" bestFit="1" customWidth="1"/>
    <col min="15" max="18" width="3.5703125" bestFit="1" customWidth="1"/>
    <col min="19" max="19" width="8" bestFit="1" customWidth="1"/>
    <col min="20" max="20" width="3.5703125" customWidth="1"/>
    <col min="21" max="21" width="4.5703125" bestFit="1" customWidth="1"/>
    <col min="22" max="22" width="8.85546875" bestFit="1" customWidth="1"/>
    <col min="23" max="23" width="7.5703125" bestFit="1" customWidth="1"/>
    <col min="24" max="27" width="7" bestFit="1" customWidth="1"/>
  </cols>
  <sheetData>
    <row r="2" spans="2:27" ht="18.75" x14ac:dyDescent="0.3">
      <c r="B2" s="18" t="s">
        <v>0</v>
      </c>
      <c r="C2" s="19" t="s">
        <v>2</v>
      </c>
      <c r="D2" s="19"/>
      <c r="E2" s="19"/>
      <c r="F2" s="19"/>
      <c r="G2" s="18" t="s">
        <v>4</v>
      </c>
      <c r="L2" s="27" t="s">
        <v>32</v>
      </c>
      <c r="M2" s="29" t="s">
        <v>33</v>
      </c>
      <c r="N2" s="29" t="s">
        <v>41</v>
      </c>
      <c r="O2" s="27" t="s">
        <v>46</v>
      </c>
      <c r="P2" s="27"/>
      <c r="Q2" s="27"/>
      <c r="R2" s="27"/>
      <c r="S2" s="27"/>
      <c r="T2" s="28" t="s">
        <v>42</v>
      </c>
      <c r="U2" s="28" t="s">
        <v>43</v>
      </c>
      <c r="V2" s="28" t="s">
        <v>44</v>
      </c>
      <c r="W2" s="27" t="s">
        <v>45</v>
      </c>
      <c r="X2" s="27"/>
      <c r="Y2" s="27"/>
      <c r="Z2" s="27"/>
      <c r="AA2" s="27"/>
    </row>
    <row r="3" spans="2:27" ht="18.75" x14ac:dyDescent="0.3">
      <c r="B3" s="18" t="s">
        <v>6</v>
      </c>
      <c r="C3" s="19" t="s">
        <v>3</v>
      </c>
      <c r="D3" s="19"/>
      <c r="E3" s="19"/>
      <c r="F3" s="19"/>
      <c r="G3" s="18" t="s">
        <v>5</v>
      </c>
      <c r="L3" s="27"/>
      <c r="M3" s="29"/>
      <c r="N3" s="29"/>
      <c r="O3" s="23" t="s">
        <v>0</v>
      </c>
      <c r="P3" s="23" t="s">
        <v>6</v>
      </c>
      <c r="Q3" s="23" t="s">
        <v>7</v>
      </c>
      <c r="R3" s="23" t="s">
        <v>8</v>
      </c>
      <c r="S3" s="23" t="s">
        <v>35</v>
      </c>
      <c r="T3" s="28"/>
      <c r="U3" s="28"/>
      <c r="V3" s="28"/>
      <c r="W3" s="22" t="s">
        <v>0</v>
      </c>
      <c r="X3" s="22" t="s">
        <v>6</v>
      </c>
      <c r="Y3" s="22" t="s">
        <v>7</v>
      </c>
      <c r="Z3" s="22" t="s">
        <v>8</v>
      </c>
      <c r="AA3" s="22" t="s">
        <v>35</v>
      </c>
    </row>
    <row r="4" spans="2:27" ht="18.75" x14ac:dyDescent="0.3">
      <c r="B4" s="18" t="s">
        <v>7</v>
      </c>
      <c r="C4" s="19" t="s">
        <v>63</v>
      </c>
      <c r="D4" s="19"/>
      <c r="E4" s="19"/>
      <c r="F4" s="19"/>
      <c r="G4" s="18" t="s">
        <v>4</v>
      </c>
      <c r="L4" s="1">
        <v>1</v>
      </c>
      <c r="M4" s="1" t="s">
        <v>36</v>
      </c>
      <c r="N4" s="1" t="s">
        <v>36</v>
      </c>
      <c r="O4" s="23">
        <f>COUNTIF($C$2,"*"&amp;LOWER($M4)&amp;"*")</f>
        <v>1</v>
      </c>
      <c r="P4" s="23">
        <f>COUNTIF($C$3,"*"&amp;LOWER($M4)&amp;"*")</f>
        <v>0</v>
      </c>
      <c r="Q4" s="23">
        <f>COUNTIF($C$4,"*"&amp;LOWER($M4)&amp;"*")</f>
        <v>0</v>
      </c>
      <c r="R4" s="23">
        <f>COUNTIF($C$5,"*"&amp;LOWER($M4)&amp;"*")</f>
        <v>0</v>
      </c>
      <c r="S4" s="23">
        <f>COUNTIF($C$6,"*"&amp;LOWER($M4)&amp;"*")</f>
        <v>0</v>
      </c>
      <c r="T4" s="23">
        <f>COUNTIF(O4:S4,"&gt;0")</f>
        <v>1</v>
      </c>
      <c r="U4" s="23">
        <f>5/T4</f>
        <v>5</v>
      </c>
      <c r="V4" s="24">
        <f>LOG(U4)</f>
        <v>0.69897000433601886</v>
      </c>
      <c r="W4" s="26">
        <f>O4*$V4</f>
        <v>0.69897000433601886</v>
      </c>
      <c r="X4" s="26">
        <f>P4*$V4</f>
        <v>0</v>
      </c>
      <c r="Y4" s="26">
        <f>Q4*$V4</f>
        <v>0</v>
      </c>
      <c r="Z4" s="26">
        <f>R4*$V4</f>
        <v>0</v>
      </c>
      <c r="AA4" s="26">
        <f>S4*$V4</f>
        <v>0</v>
      </c>
    </row>
    <row r="5" spans="2:27" ht="18.75" x14ac:dyDescent="0.3">
      <c r="B5" s="18" t="s">
        <v>8</v>
      </c>
      <c r="C5" s="19" t="s">
        <v>64</v>
      </c>
      <c r="D5" s="19"/>
      <c r="E5" s="19"/>
      <c r="F5" s="19"/>
      <c r="G5" s="18" t="s">
        <v>4</v>
      </c>
      <c r="L5" s="1">
        <v>2</v>
      </c>
      <c r="M5" s="1" t="s">
        <v>37</v>
      </c>
      <c r="N5" s="1" t="s">
        <v>37</v>
      </c>
      <c r="O5" s="23">
        <f t="shared" ref="O5:O20" si="0">COUNTIF($C$2,"*"&amp;LOWER($M5)&amp;"*")</f>
        <v>1</v>
      </c>
      <c r="P5" s="23">
        <f t="shared" ref="P5:P20" si="1">COUNTIF($C$3,"*"&amp;LOWER($M5)&amp;"*")</f>
        <v>0</v>
      </c>
      <c r="Q5" s="23">
        <f t="shared" ref="Q5:Q20" si="2">COUNTIF($C$4,"*"&amp;LOWER($M5)&amp;"*")</f>
        <v>0</v>
      </c>
      <c r="R5" s="23">
        <f t="shared" ref="R5:R20" si="3">COUNTIF($C$5,"*"&amp;LOWER($M5)&amp;"*")</f>
        <v>0</v>
      </c>
      <c r="S5" s="23">
        <f t="shared" ref="S5:S20" si="4">COUNTIF($C$6,"*"&amp;LOWER($M5)&amp;"*")</f>
        <v>0</v>
      </c>
      <c r="T5" s="23">
        <f t="shared" ref="T5:T20" si="5">COUNTIF(O5:S5,"&gt;0")</f>
        <v>1</v>
      </c>
      <c r="U5" s="23">
        <f t="shared" ref="U5:U20" si="6">5/T5</f>
        <v>5</v>
      </c>
      <c r="V5" s="24">
        <f t="shared" ref="V5:V20" si="7">LOG(U5)</f>
        <v>0.69897000433601886</v>
      </c>
      <c r="W5" s="26">
        <f t="shared" ref="W5:W20" si="8">O5*$V5</f>
        <v>0.69897000433601886</v>
      </c>
      <c r="X5" s="26">
        <f t="shared" ref="X5:X20" si="9">P5*$V5</f>
        <v>0</v>
      </c>
      <c r="Y5" s="26">
        <f t="shared" ref="Y5:Y20" si="10">Q5*$V5</f>
        <v>0</v>
      </c>
      <c r="Z5" s="26">
        <f t="shared" ref="Z5:Z20" si="11">R5*$V5</f>
        <v>0</v>
      </c>
      <c r="AA5" s="26">
        <f t="shared" ref="AA5:AA20" si="12">S5*$V5</f>
        <v>0</v>
      </c>
    </row>
    <row r="6" spans="2:27" ht="18.75" x14ac:dyDescent="0.3">
      <c r="B6" s="20" t="s">
        <v>10</v>
      </c>
      <c r="C6" s="21" t="s">
        <v>9</v>
      </c>
      <c r="D6" s="21"/>
      <c r="E6" s="21"/>
      <c r="F6" s="21"/>
      <c r="G6" s="46"/>
      <c r="L6" s="1">
        <v>3</v>
      </c>
      <c r="M6" s="1" t="s">
        <v>15</v>
      </c>
      <c r="N6" s="1" t="s">
        <v>15</v>
      </c>
      <c r="O6" s="23">
        <f t="shared" si="0"/>
        <v>1</v>
      </c>
      <c r="P6" s="23">
        <f t="shared" si="1"/>
        <v>0</v>
      </c>
      <c r="Q6" s="23">
        <f t="shared" si="2"/>
        <v>0</v>
      </c>
      <c r="R6" s="23">
        <f t="shared" si="3"/>
        <v>0</v>
      </c>
      <c r="S6" s="23">
        <f t="shared" si="4"/>
        <v>0</v>
      </c>
      <c r="T6" s="23">
        <f t="shared" si="5"/>
        <v>1</v>
      </c>
      <c r="U6" s="23">
        <f t="shared" si="6"/>
        <v>5</v>
      </c>
      <c r="V6" s="24">
        <f t="shared" si="7"/>
        <v>0.69897000433601886</v>
      </c>
      <c r="W6" s="26">
        <f t="shared" si="8"/>
        <v>0.69897000433601886</v>
      </c>
      <c r="X6" s="26">
        <f t="shared" si="9"/>
        <v>0</v>
      </c>
      <c r="Y6" s="26">
        <f t="shared" si="10"/>
        <v>0</v>
      </c>
      <c r="Z6" s="26">
        <f t="shared" si="11"/>
        <v>0</v>
      </c>
      <c r="AA6" s="26">
        <f t="shared" si="12"/>
        <v>0</v>
      </c>
    </row>
    <row r="7" spans="2:27" x14ac:dyDescent="0.25">
      <c r="L7" s="1">
        <v>4</v>
      </c>
      <c r="M7" s="1" t="s">
        <v>16</v>
      </c>
      <c r="N7" s="1" t="s">
        <v>16</v>
      </c>
      <c r="O7" s="23">
        <f t="shared" si="0"/>
        <v>0</v>
      </c>
      <c r="P7" s="23">
        <f t="shared" si="1"/>
        <v>1</v>
      </c>
      <c r="Q7" s="23">
        <f t="shared" si="2"/>
        <v>0</v>
      </c>
      <c r="R7" s="23">
        <f t="shared" si="3"/>
        <v>0</v>
      </c>
      <c r="S7" s="23">
        <f t="shared" si="4"/>
        <v>1</v>
      </c>
      <c r="T7" s="23">
        <f t="shared" si="5"/>
        <v>2</v>
      </c>
      <c r="U7" s="23">
        <f t="shared" si="6"/>
        <v>2.5</v>
      </c>
      <c r="V7" s="24">
        <f t="shared" si="7"/>
        <v>0.3979400086720376</v>
      </c>
      <c r="W7" s="26">
        <f t="shared" si="8"/>
        <v>0</v>
      </c>
      <c r="X7" s="26">
        <f t="shared" si="9"/>
        <v>0.3979400086720376</v>
      </c>
      <c r="Y7" s="26">
        <f t="shared" si="10"/>
        <v>0</v>
      </c>
      <c r="Z7" s="26">
        <f t="shared" si="11"/>
        <v>0</v>
      </c>
      <c r="AA7" s="26">
        <f t="shared" si="12"/>
        <v>0.3979400086720376</v>
      </c>
    </row>
    <row r="8" spans="2:27" x14ac:dyDescent="0.25">
      <c r="L8" s="1">
        <v>5</v>
      </c>
      <c r="M8" s="1" t="s">
        <v>30</v>
      </c>
      <c r="N8" s="1" t="s">
        <v>30</v>
      </c>
      <c r="O8" s="23">
        <f t="shared" si="0"/>
        <v>0</v>
      </c>
      <c r="P8" s="23">
        <f t="shared" si="1"/>
        <v>1</v>
      </c>
      <c r="Q8" s="23">
        <f t="shared" si="2"/>
        <v>1</v>
      </c>
      <c r="R8" s="23">
        <f t="shared" si="3"/>
        <v>1</v>
      </c>
      <c r="S8" s="23">
        <f t="shared" si="4"/>
        <v>1</v>
      </c>
      <c r="T8" s="23">
        <f t="shared" si="5"/>
        <v>4</v>
      </c>
      <c r="U8" s="23">
        <f t="shared" si="6"/>
        <v>1.25</v>
      </c>
      <c r="V8" s="24">
        <f t="shared" si="7"/>
        <v>9.691001300805642E-2</v>
      </c>
      <c r="W8" s="26">
        <f t="shared" si="8"/>
        <v>0</v>
      </c>
      <c r="X8" s="26">
        <f t="shared" si="9"/>
        <v>9.691001300805642E-2</v>
      </c>
      <c r="Y8" s="26">
        <f t="shared" si="10"/>
        <v>9.691001300805642E-2</v>
      </c>
      <c r="Z8" s="26">
        <f t="shared" si="11"/>
        <v>9.691001300805642E-2</v>
      </c>
      <c r="AA8" s="26">
        <f t="shared" si="12"/>
        <v>9.691001300805642E-2</v>
      </c>
    </row>
    <row r="9" spans="2:27" ht="18.75" customHeight="1" x14ac:dyDescent="0.3">
      <c r="B9" s="9" t="s">
        <v>29</v>
      </c>
      <c r="C9" s="10"/>
      <c r="E9" s="12" t="s">
        <v>31</v>
      </c>
      <c r="F9" s="13"/>
      <c r="H9" s="14" t="s">
        <v>34</v>
      </c>
      <c r="I9" s="15"/>
      <c r="L9" s="1">
        <v>6</v>
      </c>
      <c r="M9" s="1" t="s">
        <v>40</v>
      </c>
      <c r="N9" s="1" t="s">
        <v>38</v>
      </c>
      <c r="O9" s="23">
        <f t="shared" si="0"/>
        <v>0</v>
      </c>
      <c r="P9" s="23">
        <f t="shared" si="1"/>
        <v>1</v>
      </c>
      <c r="Q9" s="23">
        <f t="shared" si="2"/>
        <v>0</v>
      </c>
      <c r="R9" s="23">
        <f t="shared" si="3"/>
        <v>0</v>
      </c>
      <c r="S9" s="23">
        <f t="shared" si="4"/>
        <v>1</v>
      </c>
      <c r="T9" s="23">
        <f t="shared" si="5"/>
        <v>2</v>
      </c>
      <c r="U9" s="23">
        <f t="shared" si="6"/>
        <v>2.5</v>
      </c>
      <c r="V9" s="24">
        <f t="shared" si="7"/>
        <v>0.3979400086720376</v>
      </c>
      <c r="W9" s="26">
        <f t="shared" si="8"/>
        <v>0</v>
      </c>
      <c r="X9" s="26">
        <f t="shared" si="9"/>
        <v>0.3979400086720376</v>
      </c>
      <c r="Y9" s="26">
        <f t="shared" si="10"/>
        <v>0</v>
      </c>
      <c r="Z9" s="26">
        <f t="shared" si="11"/>
        <v>0</v>
      </c>
      <c r="AA9" s="26">
        <f t="shared" si="12"/>
        <v>0.3979400086720376</v>
      </c>
    </row>
    <row r="10" spans="2:27" x14ac:dyDescent="0.25">
      <c r="B10" s="8" t="s">
        <v>32</v>
      </c>
      <c r="C10" s="7" t="s">
        <v>33</v>
      </c>
      <c r="E10" s="8" t="s">
        <v>32</v>
      </c>
      <c r="F10" s="7" t="s">
        <v>33</v>
      </c>
      <c r="H10" s="8" t="s">
        <v>32</v>
      </c>
      <c r="I10" s="7" t="s">
        <v>33</v>
      </c>
      <c r="L10" s="1">
        <v>7</v>
      </c>
      <c r="M10" s="1" t="s">
        <v>18</v>
      </c>
      <c r="N10" s="1" t="s">
        <v>18</v>
      </c>
      <c r="O10" s="23">
        <f t="shared" si="0"/>
        <v>0</v>
      </c>
      <c r="P10" s="23">
        <f t="shared" si="1"/>
        <v>1</v>
      </c>
      <c r="Q10" s="23">
        <f t="shared" si="2"/>
        <v>0</v>
      </c>
      <c r="R10" s="23">
        <f t="shared" si="3"/>
        <v>0</v>
      </c>
      <c r="S10" s="23">
        <f t="shared" si="4"/>
        <v>0</v>
      </c>
      <c r="T10" s="23">
        <f t="shared" si="5"/>
        <v>1</v>
      </c>
      <c r="U10" s="23">
        <f t="shared" si="6"/>
        <v>5</v>
      </c>
      <c r="V10" s="24">
        <f t="shared" si="7"/>
        <v>0.69897000433601886</v>
      </c>
      <c r="W10" s="26">
        <f t="shared" si="8"/>
        <v>0</v>
      </c>
      <c r="X10" s="26">
        <f t="shared" si="9"/>
        <v>0.69897000433601886</v>
      </c>
      <c r="Y10" s="26">
        <f t="shared" si="10"/>
        <v>0</v>
      </c>
      <c r="Z10" s="26">
        <f t="shared" si="11"/>
        <v>0</v>
      </c>
      <c r="AA10" s="26">
        <f t="shared" si="12"/>
        <v>0</v>
      </c>
    </row>
    <row r="11" spans="2:27" x14ac:dyDescent="0.25">
      <c r="B11" s="3">
        <v>1</v>
      </c>
      <c r="C11" s="4" t="s">
        <v>1</v>
      </c>
      <c r="E11" s="3">
        <v>1</v>
      </c>
      <c r="F11" s="4" t="s">
        <v>1</v>
      </c>
      <c r="H11" s="3">
        <v>1</v>
      </c>
      <c r="I11" s="4" t="s">
        <v>1</v>
      </c>
      <c r="L11" s="1">
        <v>8</v>
      </c>
      <c r="M11" s="1" t="s">
        <v>19</v>
      </c>
      <c r="N11" s="1" t="s">
        <v>19</v>
      </c>
      <c r="O11" s="23">
        <f t="shared" si="0"/>
        <v>0</v>
      </c>
      <c r="P11" s="23">
        <f t="shared" si="1"/>
        <v>1</v>
      </c>
      <c r="Q11" s="23">
        <f t="shared" si="2"/>
        <v>0</v>
      </c>
      <c r="R11" s="23">
        <f t="shared" si="3"/>
        <v>0</v>
      </c>
      <c r="S11" s="23">
        <f t="shared" si="4"/>
        <v>0</v>
      </c>
      <c r="T11" s="23">
        <f t="shared" si="5"/>
        <v>1</v>
      </c>
      <c r="U11" s="23">
        <f t="shared" si="6"/>
        <v>5</v>
      </c>
      <c r="V11" s="24">
        <f t="shared" si="7"/>
        <v>0.69897000433601886</v>
      </c>
      <c r="W11" s="26">
        <f t="shared" si="8"/>
        <v>0</v>
      </c>
      <c r="X11" s="26">
        <f t="shared" si="9"/>
        <v>0.69897000433601886</v>
      </c>
      <c r="Y11" s="26">
        <f t="shared" si="10"/>
        <v>0</v>
      </c>
      <c r="Z11" s="26">
        <f t="shared" si="11"/>
        <v>0</v>
      </c>
      <c r="AA11" s="26">
        <f t="shared" si="12"/>
        <v>0</v>
      </c>
    </row>
    <row r="12" spans="2:27" x14ac:dyDescent="0.25">
      <c r="B12" s="3">
        <v>2</v>
      </c>
      <c r="C12" s="4" t="s">
        <v>11</v>
      </c>
      <c r="E12" s="3">
        <v>2</v>
      </c>
      <c r="F12" s="4" t="s">
        <v>11</v>
      </c>
      <c r="H12" s="3">
        <v>2</v>
      </c>
      <c r="I12" s="4" t="s">
        <v>11</v>
      </c>
      <c r="L12" s="1">
        <v>9</v>
      </c>
      <c r="M12" s="1" t="s">
        <v>20</v>
      </c>
      <c r="N12" s="1" t="s">
        <v>20</v>
      </c>
      <c r="O12" s="23">
        <f t="shared" si="0"/>
        <v>0</v>
      </c>
      <c r="P12" s="23">
        <f t="shared" si="1"/>
        <v>0</v>
      </c>
      <c r="Q12" s="23">
        <f t="shared" si="2"/>
        <v>1</v>
      </c>
      <c r="R12" s="23">
        <f t="shared" si="3"/>
        <v>0</v>
      </c>
      <c r="S12" s="23">
        <f t="shared" si="4"/>
        <v>0</v>
      </c>
      <c r="T12" s="23">
        <f t="shared" si="5"/>
        <v>1</v>
      </c>
      <c r="U12" s="23">
        <f t="shared" si="6"/>
        <v>5</v>
      </c>
      <c r="V12" s="24">
        <f t="shared" si="7"/>
        <v>0.69897000433601886</v>
      </c>
      <c r="W12" s="26">
        <f t="shared" si="8"/>
        <v>0</v>
      </c>
      <c r="X12" s="26">
        <f t="shared" si="9"/>
        <v>0</v>
      </c>
      <c r="Y12" s="26">
        <f t="shared" si="10"/>
        <v>0.69897000433601886</v>
      </c>
      <c r="Z12" s="26">
        <f t="shared" si="11"/>
        <v>0</v>
      </c>
      <c r="AA12" s="26">
        <f t="shared" si="12"/>
        <v>0</v>
      </c>
    </row>
    <row r="13" spans="2:27" x14ac:dyDescent="0.25">
      <c r="B13" s="3">
        <v>3</v>
      </c>
      <c r="C13" s="4" t="s">
        <v>12</v>
      </c>
      <c r="E13" s="11">
        <v>3</v>
      </c>
      <c r="F13" s="17" t="s">
        <v>12</v>
      </c>
      <c r="H13" s="11">
        <v>3</v>
      </c>
      <c r="I13" s="17" t="s">
        <v>12</v>
      </c>
      <c r="L13" s="1">
        <v>10</v>
      </c>
      <c r="M13" s="1" t="s">
        <v>21</v>
      </c>
      <c r="N13" s="1" t="s">
        <v>21</v>
      </c>
      <c r="O13" s="23">
        <f t="shared" si="0"/>
        <v>0</v>
      </c>
      <c r="P13" s="23">
        <f t="shared" si="1"/>
        <v>0</v>
      </c>
      <c r="Q13" s="23">
        <f t="shared" si="2"/>
        <v>1</v>
      </c>
      <c r="R13" s="23">
        <f t="shared" si="3"/>
        <v>0</v>
      </c>
      <c r="S13" s="23">
        <f t="shared" si="4"/>
        <v>0</v>
      </c>
      <c r="T13" s="23">
        <f t="shared" si="5"/>
        <v>1</v>
      </c>
      <c r="U13" s="23">
        <f t="shared" si="6"/>
        <v>5</v>
      </c>
      <c r="V13" s="24">
        <f t="shared" si="7"/>
        <v>0.69897000433601886</v>
      </c>
      <c r="W13" s="26">
        <f t="shared" si="8"/>
        <v>0</v>
      </c>
      <c r="X13" s="26">
        <f t="shared" si="9"/>
        <v>0</v>
      </c>
      <c r="Y13" s="26">
        <f t="shared" si="10"/>
        <v>0.69897000433601886</v>
      </c>
      <c r="Z13" s="26">
        <f t="shared" si="11"/>
        <v>0</v>
      </c>
      <c r="AA13" s="26">
        <f t="shared" si="12"/>
        <v>0</v>
      </c>
    </row>
    <row r="14" spans="2:27" x14ac:dyDescent="0.25">
      <c r="B14" s="3">
        <v>4</v>
      </c>
      <c r="C14" s="4" t="s">
        <v>13</v>
      </c>
      <c r="E14" s="11"/>
      <c r="F14" s="17" t="s">
        <v>13</v>
      </c>
      <c r="H14" s="11"/>
      <c r="I14" s="17" t="s">
        <v>13</v>
      </c>
      <c r="L14" s="1">
        <v>11</v>
      </c>
      <c r="M14" s="1" t="s">
        <v>22</v>
      </c>
      <c r="N14" s="1" t="s">
        <v>39</v>
      </c>
      <c r="O14" s="23">
        <f t="shared" si="0"/>
        <v>0</v>
      </c>
      <c r="P14" s="23">
        <f t="shared" si="1"/>
        <v>0</v>
      </c>
      <c r="Q14" s="23">
        <f t="shared" si="2"/>
        <v>1</v>
      </c>
      <c r="R14" s="23">
        <f t="shared" si="3"/>
        <v>0</v>
      </c>
      <c r="S14" s="23">
        <f t="shared" si="4"/>
        <v>0</v>
      </c>
      <c r="T14" s="23">
        <f t="shared" si="5"/>
        <v>1</v>
      </c>
      <c r="U14" s="23">
        <f t="shared" si="6"/>
        <v>5</v>
      </c>
      <c r="V14" s="24">
        <f t="shared" si="7"/>
        <v>0.69897000433601886</v>
      </c>
      <c r="W14" s="26">
        <f t="shared" si="8"/>
        <v>0</v>
      </c>
      <c r="X14" s="26">
        <f t="shared" si="9"/>
        <v>0</v>
      </c>
      <c r="Y14" s="26">
        <f t="shared" si="10"/>
        <v>0.69897000433601886</v>
      </c>
      <c r="Z14" s="26">
        <f t="shared" si="11"/>
        <v>0</v>
      </c>
      <c r="AA14" s="26">
        <f t="shared" si="12"/>
        <v>0</v>
      </c>
    </row>
    <row r="15" spans="2:27" x14ac:dyDescent="0.25">
      <c r="B15" s="3">
        <v>5</v>
      </c>
      <c r="C15" s="4" t="s">
        <v>14</v>
      </c>
      <c r="E15" s="16"/>
      <c r="F15" s="17" t="s">
        <v>14</v>
      </c>
      <c r="H15" s="16"/>
      <c r="I15" s="17" t="s">
        <v>14</v>
      </c>
      <c r="L15" s="1">
        <v>12</v>
      </c>
      <c r="M15" s="1" t="s">
        <v>23</v>
      </c>
      <c r="N15" s="1" t="s">
        <v>23</v>
      </c>
      <c r="O15" s="23">
        <f t="shared" si="0"/>
        <v>0</v>
      </c>
      <c r="P15" s="23">
        <f t="shared" si="1"/>
        <v>0</v>
      </c>
      <c r="Q15" s="23">
        <f t="shared" si="2"/>
        <v>1</v>
      </c>
      <c r="R15" s="23">
        <f t="shared" si="3"/>
        <v>0</v>
      </c>
      <c r="S15" s="23">
        <f t="shared" si="4"/>
        <v>0</v>
      </c>
      <c r="T15" s="23">
        <f t="shared" si="5"/>
        <v>1</v>
      </c>
      <c r="U15" s="23">
        <f t="shared" si="6"/>
        <v>5</v>
      </c>
      <c r="V15" s="24">
        <f t="shared" si="7"/>
        <v>0.69897000433601886</v>
      </c>
      <c r="W15" s="26">
        <f t="shared" si="8"/>
        <v>0</v>
      </c>
      <c r="X15" s="26">
        <f t="shared" si="9"/>
        <v>0</v>
      </c>
      <c r="Y15" s="26">
        <f t="shared" si="10"/>
        <v>0.69897000433601886</v>
      </c>
      <c r="Z15" s="26">
        <f t="shared" si="11"/>
        <v>0</v>
      </c>
      <c r="AA15" s="26">
        <f t="shared" si="12"/>
        <v>0</v>
      </c>
    </row>
    <row r="16" spans="2:27" x14ac:dyDescent="0.25">
      <c r="B16" s="3">
        <v>6</v>
      </c>
      <c r="C16" s="4" t="s">
        <v>15</v>
      </c>
      <c r="E16" s="3">
        <v>3</v>
      </c>
      <c r="F16" s="4" t="s">
        <v>15</v>
      </c>
      <c r="H16" s="3">
        <v>3</v>
      </c>
      <c r="I16" s="4" t="s">
        <v>15</v>
      </c>
      <c r="L16" s="1">
        <v>13</v>
      </c>
      <c r="M16" s="1" t="s">
        <v>24</v>
      </c>
      <c r="N16" s="1" t="s">
        <v>24</v>
      </c>
      <c r="O16" s="23">
        <f t="shared" si="0"/>
        <v>0</v>
      </c>
      <c r="P16" s="23">
        <f t="shared" si="1"/>
        <v>0</v>
      </c>
      <c r="Q16" s="23">
        <f t="shared" si="2"/>
        <v>0</v>
      </c>
      <c r="R16" s="23">
        <f t="shared" si="3"/>
        <v>1</v>
      </c>
      <c r="S16" s="23">
        <f t="shared" si="4"/>
        <v>1</v>
      </c>
      <c r="T16" s="23">
        <f t="shared" si="5"/>
        <v>2</v>
      </c>
      <c r="U16" s="23">
        <f t="shared" si="6"/>
        <v>2.5</v>
      </c>
      <c r="V16" s="24">
        <f t="shared" si="7"/>
        <v>0.3979400086720376</v>
      </c>
      <c r="W16" s="26">
        <f t="shared" si="8"/>
        <v>0</v>
      </c>
      <c r="X16" s="26">
        <f t="shared" si="9"/>
        <v>0</v>
      </c>
      <c r="Y16" s="26">
        <f t="shared" si="10"/>
        <v>0</v>
      </c>
      <c r="Z16" s="26">
        <f t="shared" si="11"/>
        <v>0.3979400086720376</v>
      </c>
      <c r="AA16" s="26">
        <f t="shared" si="12"/>
        <v>0.3979400086720376</v>
      </c>
    </row>
    <row r="17" spans="2:27" x14ac:dyDescent="0.25">
      <c r="B17" s="3">
        <v>7</v>
      </c>
      <c r="C17" s="4" t="s">
        <v>16</v>
      </c>
      <c r="E17" s="3">
        <v>4</v>
      </c>
      <c r="F17" s="4" t="s">
        <v>16</v>
      </c>
      <c r="H17" s="3">
        <v>4</v>
      </c>
      <c r="I17" s="4" t="s">
        <v>16</v>
      </c>
      <c r="L17" s="1">
        <v>14</v>
      </c>
      <c r="M17" s="1" t="s">
        <v>25</v>
      </c>
      <c r="N17" s="1" t="s">
        <v>25</v>
      </c>
      <c r="O17" s="23">
        <f t="shared" si="0"/>
        <v>0</v>
      </c>
      <c r="P17" s="23">
        <f t="shared" si="1"/>
        <v>0</v>
      </c>
      <c r="Q17" s="23">
        <f t="shared" si="2"/>
        <v>0</v>
      </c>
      <c r="R17" s="23">
        <f t="shared" si="3"/>
        <v>1</v>
      </c>
      <c r="S17" s="23">
        <f t="shared" si="4"/>
        <v>0</v>
      </c>
      <c r="T17" s="23">
        <f t="shared" si="5"/>
        <v>1</v>
      </c>
      <c r="U17" s="23">
        <f t="shared" si="6"/>
        <v>5</v>
      </c>
      <c r="V17" s="24">
        <f t="shared" si="7"/>
        <v>0.69897000433601886</v>
      </c>
      <c r="W17" s="26">
        <f t="shared" si="8"/>
        <v>0</v>
      </c>
      <c r="X17" s="26">
        <f t="shared" si="9"/>
        <v>0</v>
      </c>
      <c r="Y17" s="26">
        <f t="shared" si="10"/>
        <v>0</v>
      </c>
      <c r="Z17" s="26">
        <f t="shared" si="11"/>
        <v>0.69897000433601886</v>
      </c>
      <c r="AA17" s="26">
        <f t="shared" si="12"/>
        <v>0</v>
      </c>
    </row>
    <row r="18" spans="2:27" x14ac:dyDescent="0.25">
      <c r="B18" s="3">
        <v>8</v>
      </c>
      <c r="C18" s="4" t="s">
        <v>30</v>
      </c>
      <c r="E18" s="3">
        <v>5</v>
      </c>
      <c r="F18" s="4" t="s">
        <v>30</v>
      </c>
      <c r="H18" s="3">
        <v>5</v>
      </c>
      <c r="I18" s="4" t="s">
        <v>30</v>
      </c>
      <c r="L18" s="1">
        <v>15</v>
      </c>
      <c r="M18" s="1" t="s">
        <v>26</v>
      </c>
      <c r="N18" s="1" t="s">
        <v>26</v>
      </c>
      <c r="O18" s="23">
        <f t="shared" si="0"/>
        <v>0</v>
      </c>
      <c r="P18" s="23">
        <f t="shared" si="1"/>
        <v>0</v>
      </c>
      <c r="Q18" s="23">
        <f t="shared" si="2"/>
        <v>0</v>
      </c>
      <c r="R18" s="23">
        <f t="shared" si="3"/>
        <v>1</v>
      </c>
      <c r="S18" s="23">
        <f t="shared" si="4"/>
        <v>0</v>
      </c>
      <c r="T18" s="23">
        <f t="shared" si="5"/>
        <v>1</v>
      </c>
      <c r="U18" s="23">
        <f t="shared" si="6"/>
        <v>5</v>
      </c>
      <c r="V18" s="24">
        <f t="shared" si="7"/>
        <v>0.69897000433601886</v>
      </c>
      <c r="W18" s="26">
        <f t="shared" si="8"/>
        <v>0</v>
      </c>
      <c r="X18" s="26">
        <f t="shared" si="9"/>
        <v>0</v>
      </c>
      <c r="Y18" s="26">
        <f t="shared" si="10"/>
        <v>0</v>
      </c>
      <c r="Z18" s="26">
        <f t="shared" si="11"/>
        <v>0.69897000433601886</v>
      </c>
      <c r="AA18" s="26">
        <f t="shared" si="12"/>
        <v>0</v>
      </c>
    </row>
    <row r="19" spans="2:27" x14ac:dyDescent="0.25">
      <c r="B19" s="3">
        <v>9</v>
      </c>
      <c r="C19" s="4" t="s">
        <v>17</v>
      </c>
      <c r="E19" s="3">
        <v>6</v>
      </c>
      <c r="F19" s="4" t="s">
        <v>17</v>
      </c>
      <c r="H19" s="3">
        <v>6</v>
      </c>
      <c r="I19" s="4" t="s">
        <v>38</v>
      </c>
      <c r="L19" s="1">
        <v>16</v>
      </c>
      <c r="M19" s="1" t="s">
        <v>27</v>
      </c>
      <c r="N19" s="1" t="s">
        <v>27</v>
      </c>
      <c r="O19" s="23">
        <f t="shared" si="0"/>
        <v>0</v>
      </c>
      <c r="P19" s="23">
        <f t="shared" si="1"/>
        <v>0</v>
      </c>
      <c r="Q19" s="23">
        <f t="shared" si="2"/>
        <v>0</v>
      </c>
      <c r="R19" s="23">
        <f t="shared" si="3"/>
        <v>1</v>
      </c>
      <c r="S19" s="23">
        <f t="shared" si="4"/>
        <v>0</v>
      </c>
      <c r="T19" s="23">
        <f t="shared" si="5"/>
        <v>1</v>
      </c>
      <c r="U19" s="23">
        <f t="shared" si="6"/>
        <v>5</v>
      </c>
      <c r="V19" s="24">
        <f t="shared" si="7"/>
        <v>0.69897000433601886</v>
      </c>
      <c r="W19" s="26">
        <f t="shared" si="8"/>
        <v>0</v>
      </c>
      <c r="X19" s="26">
        <f t="shared" si="9"/>
        <v>0</v>
      </c>
      <c r="Y19" s="26">
        <f t="shared" si="10"/>
        <v>0</v>
      </c>
      <c r="Z19" s="26">
        <f t="shared" si="11"/>
        <v>0.69897000433601886</v>
      </c>
      <c r="AA19" s="26">
        <f t="shared" si="12"/>
        <v>0</v>
      </c>
    </row>
    <row r="20" spans="2:27" x14ac:dyDescent="0.25">
      <c r="B20" s="3">
        <v>10</v>
      </c>
      <c r="C20" s="4" t="s">
        <v>18</v>
      </c>
      <c r="E20" s="3">
        <v>7</v>
      </c>
      <c r="F20" s="4" t="s">
        <v>18</v>
      </c>
      <c r="H20" s="3">
        <v>7</v>
      </c>
      <c r="I20" s="4" t="s">
        <v>18</v>
      </c>
      <c r="L20" s="1">
        <v>17</v>
      </c>
      <c r="M20" s="1" t="s">
        <v>28</v>
      </c>
      <c r="N20" s="1" t="s">
        <v>28</v>
      </c>
      <c r="O20" s="23">
        <f t="shared" si="0"/>
        <v>0</v>
      </c>
      <c r="P20" s="23">
        <f t="shared" si="1"/>
        <v>0</v>
      </c>
      <c r="Q20" s="23">
        <f t="shared" si="2"/>
        <v>0</v>
      </c>
      <c r="R20" s="23">
        <f t="shared" si="3"/>
        <v>0</v>
      </c>
      <c r="S20" s="23">
        <f t="shared" si="4"/>
        <v>1</v>
      </c>
      <c r="T20" s="23">
        <f t="shared" si="5"/>
        <v>1</v>
      </c>
      <c r="U20" s="23">
        <f t="shared" si="6"/>
        <v>5</v>
      </c>
      <c r="V20" s="24">
        <f t="shared" si="7"/>
        <v>0.69897000433601886</v>
      </c>
      <c r="W20" s="26">
        <f t="shared" si="8"/>
        <v>0</v>
      </c>
      <c r="X20" s="26">
        <f t="shared" si="9"/>
        <v>0</v>
      </c>
      <c r="Y20" s="26">
        <f t="shared" si="10"/>
        <v>0</v>
      </c>
      <c r="Z20" s="26">
        <f t="shared" si="11"/>
        <v>0</v>
      </c>
      <c r="AA20" s="26">
        <f t="shared" si="12"/>
        <v>0.69897000433601886</v>
      </c>
    </row>
    <row r="21" spans="2:27" x14ac:dyDescent="0.25">
      <c r="B21" s="3">
        <v>11</v>
      </c>
      <c r="C21" s="4" t="s">
        <v>19</v>
      </c>
      <c r="E21" s="3">
        <v>8</v>
      </c>
      <c r="F21" s="4" t="s">
        <v>19</v>
      </c>
      <c r="H21" s="3">
        <v>8</v>
      </c>
      <c r="I21" s="4" t="s">
        <v>19</v>
      </c>
    </row>
    <row r="22" spans="2:27" x14ac:dyDescent="0.25">
      <c r="B22" s="3">
        <v>12</v>
      </c>
      <c r="C22" s="4" t="s">
        <v>20</v>
      </c>
      <c r="E22" s="3">
        <v>9</v>
      </c>
      <c r="F22" s="4" t="s">
        <v>20</v>
      </c>
      <c r="H22" s="3">
        <v>9</v>
      </c>
      <c r="I22" s="4" t="s">
        <v>20</v>
      </c>
    </row>
    <row r="23" spans="2:27" x14ac:dyDescent="0.25">
      <c r="B23" s="3">
        <v>13</v>
      </c>
      <c r="C23" s="4" t="s">
        <v>21</v>
      </c>
      <c r="E23" s="3">
        <v>10</v>
      </c>
      <c r="F23" s="4" t="s">
        <v>21</v>
      </c>
      <c r="H23" s="3">
        <v>10</v>
      </c>
      <c r="I23" s="4" t="s">
        <v>21</v>
      </c>
      <c r="M23" s="30" t="s">
        <v>47</v>
      </c>
      <c r="N23" s="30"/>
    </row>
    <row r="24" spans="2:27" x14ac:dyDescent="0.25">
      <c r="B24" s="3">
        <v>14</v>
      </c>
      <c r="C24" s="4" t="s">
        <v>22</v>
      </c>
      <c r="E24" s="3">
        <v>11</v>
      </c>
      <c r="F24" s="4" t="s">
        <v>22</v>
      </c>
      <c r="H24" s="3">
        <v>11</v>
      </c>
      <c r="I24" s="4" t="s">
        <v>39</v>
      </c>
      <c r="M24" s="35" t="s">
        <v>48</v>
      </c>
      <c r="N24" s="36">
        <f>SQRT(SUMSQ(AA4:AA20))</f>
        <v>0.98641744159783584</v>
      </c>
      <c r="P24" s="25"/>
      <c r="Q24" s="25"/>
      <c r="R24" s="25"/>
      <c r="S24" s="25"/>
    </row>
    <row r="25" spans="2:27" x14ac:dyDescent="0.25">
      <c r="B25" s="3">
        <v>15</v>
      </c>
      <c r="C25" s="4" t="s">
        <v>23</v>
      </c>
      <c r="E25" s="3">
        <v>12</v>
      </c>
      <c r="F25" s="4" t="s">
        <v>23</v>
      </c>
      <c r="H25" s="3">
        <v>12</v>
      </c>
      <c r="I25" s="4" t="s">
        <v>23</v>
      </c>
      <c r="M25" s="1" t="s">
        <v>49</v>
      </c>
      <c r="N25" s="31">
        <f>SQRT(SUMSQ(W4:W20))</f>
        <v>1.2106515604766233</v>
      </c>
      <c r="P25" s="32" t="s">
        <v>53</v>
      </c>
      <c r="Q25" s="32"/>
      <c r="R25" s="32"/>
      <c r="S25" s="33">
        <f>SUMPRODUCT(W4:W20,AA4:AA20)</f>
        <v>0</v>
      </c>
    </row>
    <row r="26" spans="2:27" x14ac:dyDescent="0.25">
      <c r="B26" s="3">
        <v>16</v>
      </c>
      <c r="C26" s="4" t="s">
        <v>24</v>
      </c>
      <c r="E26" s="3">
        <v>13</v>
      </c>
      <c r="F26" s="4" t="s">
        <v>24</v>
      </c>
      <c r="H26" s="3">
        <v>13</v>
      </c>
      <c r="I26" s="4" t="s">
        <v>24</v>
      </c>
      <c r="M26" s="1" t="s">
        <v>50</v>
      </c>
      <c r="N26" s="31">
        <f>SQRT(SUMSQ(X4:X20))</f>
        <v>1.1415875724393696</v>
      </c>
      <c r="P26" s="32" t="s">
        <v>54</v>
      </c>
      <c r="Q26" s="32"/>
      <c r="R26" s="32"/>
      <c r="S26" s="33">
        <f>SUMPRODUCT(X4:X20,AA4:AA20)</f>
        <v>0.32610405162502437</v>
      </c>
    </row>
    <row r="27" spans="2:27" x14ac:dyDescent="0.25">
      <c r="B27" s="3">
        <v>17</v>
      </c>
      <c r="C27" s="4" t="s">
        <v>25</v>
      </c>
      <c r="E27" s="3">
        <v>14</v>
      </c>
      <c r="F27" s="4" t="s">
        <v>25</v>
      </c>
      <c r="H27" s="3">
        <v>14</v>
      </c>
      <c r="I27" s="4" t="s">
        <v>25</v>
      </c>
      <c r="M27" s="1" t="s">
        <v>51</v>
      </c>
      <c r="N27" s="31">
        <f>SQRT(SUMSQ(Y4:Y20))</f>
        <v>1.4012950504683865</v>
      </c>
      <c r="P27" s="32" t="s">
        <v>55</v>
      </c>
      <c r="Q27" s="32"/>
      <c r="R27" s="32"/>
      <c r="S27" s="33">
        <f>SUMPRODUCT(Y4:Y20,AA4:AA20)</f>
        <v>9.3915506212216646E-3</v>
      </c>
    </row>
    <row r="28" spans="2:27" x14ac:dyDescent="0.25">
      <c r="B28" s="3">
        <v>18</v>
      </c>
      <c r="C28" s="4" t="s">
        <v>26</v>
      </c>
      <c r="E28" s="3">
        <v>15</v>
      </c>
      <c r="F28" s="4" t="s">
        <v>26</v>
      </c>
      <c r="H28" s="3">
        <v>15</v>
      </c>
      <c r="I28" s="4" t="s">
        <v>26</v>
      </c>
      <c r="M28" s="1" t="s">
        <v>52</v>
      </c>
      <c r="N28" s="31">
        <f>SQRT(SUMSQ(Z4:Z20))</f>
        <v>1.2780551639141424</v>
      </c>
      <c r="P28" s="32" t="s">
        <v>56</v>
      </c>
      <c r="Q28" s="32"/>
      <c r="R28" s="32"/>
      <c r="S28" s="33">
        <f>SUMPRODUCT(Z4:Z20,AA4:AA20)</f>
        <v>0.16774780112312301</v>
      </c>
    </row>
    <row r="29" spans="2:27" x14ac:dyDescent="0.25">
      <c r="B29" s="3">
        <v>19</v>
      </c>
      <c r="C29" s="4" t="s">
        <v>27</v>
      </c>
      <c r="E29" s="3">
        <v>16</v>
      </c>
      <c r="F29" s="4" t="s">
        <v>27</v>
      </c>
      <c r="H29" s="3">
        <v>16</v>
      </c>
      <c r="I29" s="4" t="s">
        <v>27</v>
      </c>
    </row>
    <row r="30" spans="2:27" x14ac:dyDescent="0.25">
      <c r="B30" s="5">
        <v>20</v>
      </c>
      <c r="C30" s="6" t="s">
        <v>28</v>
      </c>
      <c r="E30" s="3">
        <v>17</v>
      </c>
      <c r="F30" s="6" t="s">
        <v>28</v>
      </c>
      <c r="H30" s="3">
        <v>17</v>
      </c>
      <c r="I30" s="6" t="s">
        <v>28</v>
      </c>
    </row>
    <row r="31" spans="2:27" x14ac:dyDescent="0.25">
      <c r="B31" s="43"/>
      <c r="C31" s="43"/>
      <c r="E31" s="43"/>
      <c r="F31" s="43"/>
      <c r="H31" s="43"/>
      <c r="I31" s="43"/>
      <c r="M31" s="45" t="s">
        <v>65</v>
      </c>
      <c r="N31" s="44">
        <v>3</v>
      </c>
    </row>
    <row r="32" spans="2:27" x14ac:dyDescent="0.25">
      <c r="B32" s="43"/>
      <c r="C32" s="43"/>
      <c r="E32" s="43"/>
      <c r="F32" s="43"/>
      <c r="H32" s="43"/>
      <c r="I32" s="43"/>
    </row>
    <row r="33" spans="13:19" x14ac:dyDescent="0.25">
      <c r="M33" s="37" t="s">
        <v>61</v>
      </c>
      <c r="N33" s="37"/>
      <c r="O33" s="39" t="s">
        <v>62</v>
      </c>
      <c r="P33" s="40"/>
      <c r="Q33" s="37"/>
      <c r="R33" s="37"/>
      <c r="S33" s="37"/>
    </row>
    <row r="34" spans="13:19" x14ac:dyDescent="0.25">
      <c r="M34" s="34" t="s">
        <v>57</v>
      </c>
      <c r="N34" s="38">
        <f>S25/($N$24*N25)</f>
        <v>0</v>
      </c>
      <c r="O34" s="41">
        <f>_xlfn.RANK.AVG(N34,$N$34:$N$37,0)</f>
        <v>4</v>
      </c>
      <c r="P34" s="42"/>
      <c r="Q34" s="2" t="str">
        <f>IF(O34&lt;=$N$31,G2,"")</f>
        <v/>
      </c>
      <c r="R34" s="2"/>
      <c r="S34" s="2"/>
    </row>
    <row r="35" spans="13:19" x14ac:dyDescent="0.25">
      <c r="M35" s="34" t="s">
        <v>58</v>
      </c>
      <c r="N35" s="38">
        <f t="shared" ref="N35:N37" si="13">S26/($N$24*N26)</f>
        <v>0.28959177283462822</v>
      </c>
      <c r="O35" s="41">
        <f t="shared" ref="O35:O37" si="14">_xlfn.RANK.AVG(N35,$N$34:$N$37,0)</f>
        <v>1</v>
      </c>
      <c r="P35" s="42"/>
      <c r="Q35" s="2" t="str">
        <f t="shared" ref="Q35:Q37" si="15">IF(O35&lt;=$N$31,G3,"")</f>
        <v>Politik</v>
      </c>
      <c r="R35" s="2"/>
      <c r="S35" s="2"/>
    </row>
    <row r="36" spans="13:19" x14ac:dyDescent="0.25">
      <c r="M36" s="34" t="s">
        <v>59</v>
      </c>
      <c r="N36" s="38">
        <f t="shared" si="13"/>
        <v>6.79433526061499E-3</v>
      </c>
      <c r="O36" s="41">
        <f t="shared" si="14"/>
        <v>3</v>
      </c>
      <c r="P36" s="42"/>
      <c r="Q36" s="2" t="str">
        <f t="shared" si="15"/>
        <v>Olahraga</v>
      </c>
      <c r="R36" s="2"/>
      <c r="S36" s="2"/>
    </row>
    <row r="37" spans="13:19" x14ac:dyDescent="0.25">
      <c r="M37" s="34" t="s">
        <v>60</v>
      </c>
      <c r="N37" s="38">
        <f t="shared" si="13"/>
        <v>0.1330596858898446</v>
      </c>
      <c r="O37" s="41">
        <f t="shared" si="14"/>
        <v>2</v>
      </c>
      <c r="P37" s="42"/>
      <c r="Q37" s="2" t="str">
        <f t="shared" si="15"/>
        <v>Olahraga</v>
      </c>
      <c r="R37" s="2"/>
      <c r="S37" s="2"/>
    </row>
  </sheetData>
  <mergeCells count="33">
    <mergeCell ref="O35:P35"/>
    <mergeCell ref="O36:P36"/>
    <mergeCell ref="O37:P37"/>
    <mergeCell ref="Q34:S34"/>
    <mergeCell ref="Q35:S35"/>
    <mergeCell ref="Q36:S36"/>
    <mergeCell ref="Q37:S37"/>
    <mergeCell ref="P27:R27"/>
    <mergeCell ref="P28:R28"/>
    <mergeCell ref="P24:S24"/>
    <mergeCell ref="M33:N33"/>
    <mergeCell ref="O33:P33"/>
    <mergeCell ref="O34:P34"/>
    <mergeCell ref="Q33:S33"/>
    <mergeCell ref="M2:M3"/>
    <mergeCell ref="L2:L3"/>
    <mergeCell ref="M23:N23"/>
    <mergeCell ref="P25:R25"/>
    <mergeCell ref="P26:R26"/>
    <mergeCell ref="C6:F6"/>
    <mergeCell ref="B9:C9"/>
    <mergeCell ref="E9:F9"/>
    <mergeCell ref="H9:I9"/>
    <mergeCell ref="W2:AA2"/>
    <mergeCell ref="O2:S2"/>
    <mergeCell ref="T2:T3"/>
    <mergeCell ref="U2:U3"/>
    <mergeCell ref="V2:V3"/>
    <mergeCell ref="N2:N3"/>
    <mergeCell ref="C2:F2"/>
    <mergeCell ref="C3:F3"/>
    <mergeCell ref="C4:F4"/>
    <mergeCell ref="C5:F5"/>
  </mergeCells>
  <conditionalFormatting sqref="O4:S20">
    <cfRule type="cellIs" dxfId="0" priority="1" operator="greaterThan">
      <formula>0.5</formula>
    </cfRule>
  </conditionalFormatting>
  <pageMargins left="0.7" right="0.7" top="0.75" bottom="0.75" header="0.3" footer="0.3"/>
  <pageSetup orientation="portrait" horizontalDpi="4294967293" verticalDpi="0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Blank Zero</dc:creator>
  <cp:lastModifiedBy>Blank Zero</cp:lastModifiedBy>
  <dcterms:created xsi:type="dcterms:W3CDTF">2026-01-17T04:22:28Z</dcterms:created>
  <dcterms:modified xsi:type="dcterms:W3CDTF">2026-01-17T05:58:44Z</dcterms:modified>
</cp:coreProperties>
</file>